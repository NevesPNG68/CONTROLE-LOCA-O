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C32F49AB-3A53-44B1-AE48-DABD717F70D7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" i="3" l="1"/>
  <c r="Y7" i="3" s="1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Q7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P6" i="3"/>
  <c r="Z204" i="3"/>
  <c r="U204" i="3"/>
  <c r="E204" i="3"/>
  <c r="V204" i="3" s="1"/>
  <c r="A204" i="3"/>
  <c r="Z203" i="3"/>
  <c r="U203" i="3"/>
  <c r="G203" i="3"/>
  <c r="W203" i="3" s="1"/>
  <c r="E203" i="3"/>
  <c r="V203" i="3" s="1"/>
  <c r="A203" i="3"/>
  <c r="Z202" i="3"/>
  <c r="W202" i="3"/>
  <c r="U202" i="3"/>
  <c r="E202" i="3"/>
  <c r="G202" i="3" s="1"/>
  <c r="A202" i="3"/>
  <c r="Z201" i="3"/>
  <c r="U201" i="3"/>
  <c r="E201" i="3"/>
  <c r="V201" i="3" s="1"/>
  <c r="A201" i="3"/>
  <c r="Z200" i="3"/>
  <c r="U200" i="3"/>
  <c r="E200" i="3"/>
  <c r="T200" i="3" s="1"/>
  <c r="A200" i="3"/>
  <c r="Z199" i="3"/>
  <c r="U199" i="3"/>
  <c r="G199" i="3"/>
  <c r="W199" i="3" s="1"/>
  <c r="E199" i="3"/>
  <c r="V199" i="3" s="1"/>
  <c r="A199" i="3"/>
  <c r="Z198" i="3"/>
  <c r="W198" i="3"/>
  <c r="U198" i="3"/>
  <c r="T198" i="3"/>
  <c r="E198" i="3"/>
  <c r="G198" i="3" s="1"/>
  <c r="A198" i="3"/>
  <c r="Z197" i="3"/>
  <c r="U197" i="3"/>
  <c r="E197" i="3"/>
  <c r="A197" i="3"/>
  <c r="Z196" i="3"/>
  <c r="U196" i="3"/>
  <c r="E196" i="3"/>
  <c r="T196" i="3" s="1"/>
  <c r="A196" i="3"/>
  <c r="Z195" i="3"/>
  <c r="U195" i="3"/>
  <c r="G195" i="3"/>
  <c r="W195" i="3" s="1"/>
  <c r="E195" i="3"/>
  <c r="V195" i="3" s="1"/>
  <c r="A195" i="3"/>
  <c r="Z194" i="3"/>
  <c r="U194" i="3"/>
  <c r="E194" i="3"/>
  <c r="G194" i="3" s="1"/>
  <c r="W194" i="3" s="1"/>
  <c r="A194" i="3"/>
  <c r="Z193" i="3"/>
  <c r="U193" i="3"/>
  <c r="E193" i="3"/>
  <c r="A193" i="3"/>
  <c r="Z192" i="3"/>
  <c r="V192" i="3"/>
  <c r="U192" i="3"/>
  <c r="E192" i="3"/>
  <c r="T192" i="3" s="1"/>
  <c r="A192" i="3"/>
  <c r="Z191" i="3"/>
  <c r="U191" i="3"/>
  <c r="G191" i="3"/>
  <c r="W191" i="3" s="1"/>
  <c r="E191" i="3"/>
  <c r="V191" i="3" s="1"/>
  <c r="A191" i="3"/>
  <c r="Z190" i="3"/>
  <c r="W190" i="3"/>
  <c r="U190" i="3"/>
  <c r="E190" i="3"/>
  <c r="G190" i="3" s="1"/>
  <c r="A190" i="3"/>
  <c r="Z189" i="3"/>
  <c r="U189" i="3"/>
  <c r="E189" i="3"/>
  <c r="V189" i="3" s="1"/>
  <c r="A189" i="3"/>
  <c r="Z188" i="3"/>
  <c r="U188" i="3"/>
  <c r="E188" i="3"/>
  <c r="T188" i="3" s="1"/>
  <c r="A188" i="3"/>
  <c r="Z187" i="3"/>
  <c r="U187" i="3"/>
  <c r="G187" i="3"/>
  <c r="W187" i="3" s="1"/>
  <c r="E187" i="3"/>
  <c r="V187" i="3" s="1"/>
  <c r="A187" i="3"/>
  <c r="Z186" i="3"/>
  <c r="U186" i="3"/>
  <c r="E186" i="3"/>
  <c r="G186" i="3" s="1"/>
  <c r="W186" i="3" s="1"/>
  <c r="A186" i="3"/>
  <c r="Z185" i="3"/>
  <c r="U185" i="3"/>
  <c r="E185" i="3"/>
  <c r="A185" i="3"/>
  <c r="Z184" i="3"/>
  <c r="V184" i="3"/>
  <c r="U184" i="3"/>
  <c r="E184" i="3"/>
  <c r="T184" i="3" s="1"/>
  <c r="A184" i="3"/>
  <c r="Z183" i="3"/>
  <c r="U183" i="3"/>
  <c r="G183" i="3"/>
  <c r="W183" i="3" s="1"/>
  <c r="E183" i="3"/>
  <c r="V183" i="3" s="1"/>
  <c r="A183" i="3"/>
  <c r="Z182" i="3"/>
  <c r="U182" i="3"/>
  <c r="T182" i="3"/>
  <c r="E182" i="3"/>
  <c r="G182" i="3" s="1"/>
  <c r="W182" i="3" s="1"/>
  <c r="A182" i="3"/>
  <c r="Z181" i="3"/>
  <c r="U181" i="3"/>
  <c r="E181" i="3"/>
  <c r="A181" i="3"/>
  <c r="Z180" i="3"/>
  <c r="V180" i="3"/>
  <c r="U180" i="3"/>
  <c r="E180" i="3"/>
  <c r="T180" i="3" s="1"/>
  <c r="A180" i="3"/>
  <c r="Z179" i="3"/>
  <c r="U179" i="3"/>
  <c r="E179" i="3"/>
  <c r="V179" i="3" s="1"/>
  <c r="A179" i="3"/>
  <c r="Z178" i="3"/>
  <c r="W178" i="3"/>
  <c r="U178" i="3"/>
  <c r="T178" i="3"/>
  <c r="E178" i="3"/>
  <c r="G178" i="3" s="1"/>
  <c r="A178" i="3"/>
  <c r="Z177" i="3"/>
  <c r="U177" i="3"/>
  <c r="E177" i="3"/>
  <c r="V177" i="3" s="1"/>
  <c r="A177" i="3"/>
  <c r="Z176" i="3"/>
  <c r="V176" i="3"/>
  <c r="U176" i="3"/>
  <c r="E176" i="3"/>
  <c r="T176" i="3" s="1"/>
  <c r="A176" i="3"/>
  <c r="Z175" i="3"/>
  <c r="U175" i="3"/>
  <c r="G175" i="3"/>
  <c r="W175" i="3" s="1"/>
  <c r="E175" i="3"/>
  <c r="V175" i="3" s="1"/>
  <c r="A175" i="3"/>
  <c r="Z174" i="3"/>
  <c r="U174" i="3"/>
  <c r="T174" i="3"/>
  <c r="E174" i="3"/>
  <c r="G174" i="3" s="1"/>
  <c r="W174" i="3" s="1"/>
  <c r="A174" i="3"/>
  <c r="Z173" i="3"/>
  <c r="U173" i="3"/>
  <c r="E173" i="3"/>
  <c r="A173" i="3"/>
  <c r="Z172" i="3"/>
  <c r="V172" i="3"/>
  <c r="U172" i="3"/>
  <c r="E172" i="3"/>
  <c r="T172" i="3" s="1"/>
  <c r="A172" i="3"/>
  <c r="Z171" i="3"/>
  <c r="U171" i="3"/>
  <c r="E171" i="3"/>
  <c r="V171" i="3" s="1"/>
  <c r="A171" i="3"/>
  <c r="Z170" i="3"/>
  <c r="W170" i="3"/>
  <c r="U170" i="3"/>
  <c r="T170" i="3"/>
  <c r="E170" i="3"/>
  <c r="G170" i="3" s="1"/>
  <c r="A170" i="3"/>
  <c r="Z169" i="3"/>
  <c r="U169" i="3"/>
  <c r="E169" i="3"/>
  <c r="V169" i="3" s="1"/>
  <c r="A169" i="3"/>
  <c r="Z168" i="3"/>
  <c r="U168" i="3"/>
  <c r="E168" i="3"/>
  <c r="T168" i="3" s="1"/>
  <c r="A168" i="3"/>
  <c r="Z167" i="3"/>
  <c r="U167" i="3"/>
  <c r="G167" i="3"/>
  <c r="W167" i="3" s="1"/>
  <c r="E167" i="3"/>
  <c r="V167" i="3" s="1"/>
  <c r="A167" i="3"/>
  <c r="Z166" i="3"/>
  <c r="W166" i="3"/>
  <c r="U166" i="3"/>
  <c r="E166" i="3"/>
  <c r="G166" i="3" s="1"/>
  <c r="A166" i="3"/>
  <c r="Z165" i="3"/>
  <c r="U165" i="3"/>
  <c r="E165" i="3"/>
  <c r="A165" i="3"/>
  <c r="Z164" i="3"/>
  <c r="U164" i="3"/>
  <c r="E164" i="3"/>
  <c r="T164" i="3" s="1"/>
  <c r="A164" i="3"/>
  <c r="Z163" i="3"/>
  <c r="U163" i="3"/>
  <c r="G163" i="3"/>
  <c r="W163" i="3" s="1"/>
  <c r="E163" i="3"/>
  <c r="V163" i="3" s="1"/>
  <c r="A163" i="3"/>
  <c r="Z162" i="3"/>
  <c r="U162" i="3"/>
  <c r="T162" i="3"/>
  <c r="E162" i="3"/>
  <c r="G162" i="3" s="1"/>
  <c r="W162" i="3" s="1"/>
  <c r="A162" i="3"/>
  <c r="Z161" i="3"/>
  <c r="U161" i="3"/>
  <c r="E161" i="3"/>
  <c r="A161" i="3"/>
  <c r="Z160" i="3"/>
  <c r="U160" i="3"/>
  <c r="E160" i="3"/>
  <c r="V160" i="3" s="1"/>
  <c r="A160" i="3"/>
  <c r="Z159" i="3"/>
  <c r="U159" i="3"/>
  <c r="G159" i="3"/>
  <c r="W159" i="3" s="1"/>
  <c r="E159" i="3"/>
  <c r="V159" i="3" s="1"/>
  <c r="A159" i="3"/>
  <c r="Z158" i="3"/>
  <c r="U158" i="3"/>
  <c r="E158" i="3"/>
  <c r="G158" i="3" s="1"/>
  <c r="W158" i="3" s="1"/>
  <c r="A158" i="3"/>
  <c r="Z157" i="3"/>
  <c r="U157" i="3"/>
  <c r="E157" i="3"/>
  <c r="V157" i="3" s="1"/>
  <c r="A157" i="3"/>
  <c r="Z156" i="3"/>
  <c r="U156" i="3"/>
  <c r="E156" i="3"/>
  <c r="V156" i="3" s="1"/>
  <c r="A156" i="3"/>
  <c r="Z155" i="3"/>
  <c r="U155" i="3"/>
  <c r="G155" i="3"/>
  <c r="W155" i="3" s="1"/>
  <c r="E155" i="3"/>
  <c r="V155" i="3" s="1"/>
  <c r="A155" i="3"/>
  <c r="Z154" i="3"/>
  <c r="U154" i="3"/>
  <c r="E154" i="3"/>
  <c r="G154" i="3" s="1"/>
  <c r="W154" i="3" s="1"/>
  <c r="A154" i="3"/>
  <c r="Z153" i="3"/>
  <c r="U153" i="3"/>
  <c r="E153" i="3"/>
  <c r="A153" i="3"/>
  <c r="Z152" i="3"/>
  <c r="U152" i="3"/>
  <c r="E152" i="3"/>
  <c r="V152" i="3" s="1"/>
  <c r="A152" i="3"/>
  <c r="Z151" i="3"/>
  <c r="U151" i="3"/>
  <c r="E151" i="3"/>
  <c r="V151" i="3" s="1"/>
  <c r="A151" i="3"/>
  <c r="Z150" i="3"/>
  <c r="U150" i="3"/>
  <c r="E150" i="3"/>
  <c r="G150" i="3" s="1"/>
  <c r="W150" i="3" s="1"/>
  <c r="A150" i="3"/>
  <c r="Z149" i="3"/>
  <c r="V149" i="3"/>
  <c r="U149" i="3"/>
  <c r="E149" i="3"/>
  <c r="A149" i="3"/>
  <c r="Z148" i="3"/>
  <c r="U148" i="3"/>
  <c r="E148" i="3"/>
  <c r="V148" i="3" s="1"/>
  <c r="A148" i="3"/>
  <c r="Z147" i="3"/>
  <c r="U147" i="3"/>
  <c r="E147" i="3"/>
  <c r="V147" i="3" s="1"/>
  <c r="A147" i="3"/>
  <c r="Z146" i="3"/>
  <c r="U146" i="3"/>
  <c r="E146" i="3"/>
  <c r="G146" i="3" s="1"/>
  <c r="W146" i="3" s="1"/>
  <c r="A146" i="3"/>
  <c r="Z145" i="3"/>
  <c r="U145" i="3"/>
  <c r="E145" i="3"/>
  <c r="A145" i="3"/>
  <c r="Z144" i="3"/>
  <c r="U144" i="3"/>
  <c r="E144" i="3"/>
  <c r="V144" i="3" s="1"/>
  <c r="A144" i="3"/>
  <c r="Z143" i="3"/>
  <c r="U143" i="3"/>
  <c r="E143" i="3"/>
  <c r="V143" i="3" s="1"/>
  <c r="A143" i="3"/>
  <c r="Z142" i="3"/>
  <c r="W142" i="3"/>
  <c r="U142" i="3"/>
  <c r="T142" i="3"/>
  <c r="E142" i="3"/>
  <c r="G142" i="3" s="1"/>
  <c r="A142" i="3"/>
  <c r="Z141" i="3"/>
  <c r="V141" i="3"/>
  <c r="U141" i="3"/>
  <c r="E141" i="3"/>
  <c r="A141" i="3"/>
  <c r="Z140" i="3"/>
  <c r="U140" i="3"/>
  <c r="E140" i="3"/>
  <c r="V140" i="3" s="1"/>
  <c r="A140" i="3"/>
  <c r="Z139" i="3"/>
  <c r="U139" i="3"/>
  <c r="E139" i="3"/>
  <c r="V139" i="3" s="1"/>
  <c r="A139" i="3"/>
  <c r="Z138" i="3"/>
  <c r="U138" i="3"/>
  <c r="E138" i="3"/>
  <c r="A138" i="3"/>
  <c r="Z137" i="3"/>
  <c r="U137" i="3"/>
  <c r="E137" i="3"/>
  <c r="A137" i="3"/>
  <c r="Z136" i="3"/>
  <c r="U136" i="3"/>
  <c r="E136" i="3"/>
  <c r="V136" i="3" s="1"/>
  <c r="A136" i="3"/>
  <c r="Z135" i="3"/>
  <c r="W135" i="3"/>
  <c r="U135" i="3"/>
  <c r="G135" i="3"/>
  <c r="E135" i="3"/>
  <c r="V135" i="3" s="1"/>
  <c r="A135" i="3"/>
  <c r="Z134" i="3"/>
  <c r="U134" i="3"/>
  <c r="T134" i="3"/>
  <c r="E134" i="3"/>
  <c r="A134" i="3"/>
  <c r="Z133" i="3"/>
  <c r="U133" i="3"/>
  <c r="E133" i="3"/>
  <c r="V133" i="3" s="1"/>
  <c r="A133" i="3"/>
  <c r="Z132" i="3"/>
  <c r="U132" i="3"/>
  <c r="E132" i="3"/>
  <c r="V132" i="3" s="1"/>
  <c r="A132" i="3"/>
  <c r="Z131" i="3"/>
  <c r="U131" i="3"/>
  <c r="E131" i="3"/>
  <c r="V131" i="3" s="1"/>
  <c r="A131" i="3"/>
  <c r="Z130" i="3"/>
  <c r="U130" i="3"/>
  <c r="E130" i="3"/>
  <c r="A130" i="3"/>
  <c r="Z129" i="3"/>
  <c r="U129" i="3"/>
  <c r="E129" i="3"/>
  <c r="A129" i="3"/>
  <c r="Z128" i="3"/>
  <c r="U128" i="3"/>
  <c r="E128" i="3"/>
  <c r="V128" i="3" s="1"/>
  <c r="A128" i="3"/>
  <c r="Z127" i="3"/>
  <c r="U127" i="3"/>
  <c r="E127" i="3"/>
  <c r="V127" i="3" s="1"/>
  <c r="A127" i="3"/>
  <c r="Z126" i="3"/>
  <c r="U126" i="3"/>
  <c r="E126" i="3"/>
  <c r="A126" i="3"/>
  <c r="Z125" i="3"/>
  <c r="U125" i="3"/>
  <c r="E125" i="3"/>
  <c r="A125" i="3"/>
  <c r="Z124" i="3"/>
  <c r="U124" i="3"/>
  <c r="E124" i="3"/>
  <c r="V124" i="3" s="1"/>
  <c r="A124" i="3"/>
  <c r="Z123" i="3"/>
  <c r="U123" i="3"/>
  <c r="E123" i="3"/>
  <c r="V123" i="3" s="1"/>
  <c r="A123" i="3"/>
  <c r="Z122" i="3"/>
  <c r="U122" i="3"/>
  <c r="T122" i="3"/>
  <c r="E122" i="3"/>
  <c r="A122" i="3"/>
  <c r="Z121" i="3"/>
  <c r="V121" i="3"/>
  <c r="U121" i="3"/>
  <c r="E121" i="3"/>
  <c r="A121" i="3"/>
  <c r="Z120" i="3"/>
  <c r="U120" i="3"/>
  <c r="E120" i="3"/>
  <c r="V120" i="3" s="1"/>
  <c r="A120" i="3"/>
  <c r="Z119" i="3"/>
  <c r="U119" i="3"/>
  <c r="E119" i="3"/>
  <c r="V119" i="3" s="1"/>
  <c r="A119" i="3"/>
  <c r="Z118" i="3"/>
  <c r="U118" i="3"/>
  <c r="E118" i="3"/>
  <c r="A118" i="3"/>
  <c r="Z117" i="3"/>
  <c r="U117" i="3"/>
  <c r="E117" i="3"/>
  <c r="A117" i="3"/>
  <c r="Z116" i="3"/>
  <c r="U116" i="3"/>
  <c r="E116" i="3"/>
  <c r="V116" i="3" s="1"/>
  <c r="A116" i="3"/>
  <c r="Z115" i="3"/>
  <c r="U115" i="3"/>
  <c r="E115" i="3"/>
  <c r="G115" i="3" s="1"/>
  <c r="W115" i="3" s="1"/>
  <c r="A115" i="3"/>
  <c r="Z114" i="3"/>
  <c r="U114" i="3"/>
  <c r="E114" i="3"/>
  <c r="A114" i="3"/>
  <c r="Z113" i="3"/>
  <c r="U113" i="3"/>
  <c r="E113" i="3"/>
  <c r="A113" i="3"/>
  <c r="Z112" i="3"/>
  <c r="U112" i="3"/>
  <c r="E112" i="3"/>
  <c r="V112" i="3" s="1"/>
  <c r="A112" i="3"/>
  <c r="Z111" i="3"/>
  <c r="U111" i="3"/>
  <c r="E111" i="3"/>
  <c r="A111" i="3"/>
  <c r="Z110" i="3"/>
  <c r="U110" i="3"/>
  <c r="E110" i="3"/>
  <c r="A110" i="3"/>
  <c r="Z109" i="3"/>
  <c r="U109" i="3"/>
  <c r="E109" i="3"/>
  <c r="A109" i="3"/>
  <c r="Z108" i="3"/>
  <c r="U108" i="3"/>
  <c r="T108" i="3"/>
  <c r="E108" i="3"/>
  <c r="V108" i="3" s="1"/>
  <c r="A108" i="3"/>
  <c r="Z107" i="3"/>
  <c r="U107" i="3"/>
  <c r="E107" i="3"/>
  <c r="A107" i="3"/>
  <c r="Z106" i="3"/>
  <c r="U106" i="3"/>
  <c r="E106" i="3"/>
  <c r="A106" i="3"/>
  <c r="Z105" i="3"/>
  <c r="U105" i="3"/>
  <c r="E105" i="3"/>
  <c r="A105" i="3"/>
  <c r="Z104" i="3"/>
  <c r="U104" i="3"/>
  <c r="G104" i="3"/>
  <c r="W104" i="3" s="1"/>
  <c r="E104" i="3"/>
  <c r="V104" i="3" s="1"/>
  <c r="A104" i="3"/>
  <c r="Z103" i="3"/>
  <c r="U103" i="3"/>
  <c r="E103" i="3"/>
  <c r="A103" i="3"/>
  <c r="Z102" i="3"/>
  <c r="U102" i="3"/>
  <c r="E102" i="3"/>
  <c r="A102" i="3"/>
  <c r="Z101" i="3"/>
  <c r="V101" i="3"/>
  <c r="U101" i="3"/>
  <c r="E101" i="3"/>
  <c r="A101" i="3"/>
  <c r="Z100" i="3"/>
  <c r="U100" i="3"/>
  <c r="E100" i="3"/>
  <c r="V100" i="3" s="1"/>
  <c r="A100" i="3"/>
  <c r="Z99" i="3"/>
  <c r="U99" i="3"/>
  <c r="E99" i="3"/>
  <c r="A99" i="3"/>
  <c r="Z98" i="3"/>
  <c r="U98" i="3"/>
  <c r="T98" i="3"/>
  <c r="E98" i="3"/>
  <c r="A98" i="3"/>
  <c r="Z97" i="3"/>
  <c r="U97" i="3"/>
  <c r="E97" i="3"/>
  <c r="V97" i="3" s="1"/>
  <c r="A97" i="3"/>
  <c r="Z96" i="3"/>
  <c r="U96" i="3"/>
  <c r="E96" i="3"/>
  <c r="V96" i="3" s="1"/>
  <c r="A96" i="3"/>
  <c r="Z95" i="3"/>
  <c r="U95" i="3"/>
  <c r="E95" i="3"/>
  <c r="A95" i="3"/>
  <c r="Z94" i="3"/>
  <c r="U94" i="3"/>
  <c r="E94" i="3"/>
  <c r="T94" i="3" s="1"/>
  <c r="A94" i="3"/>
  <c r="Z93" i="3"/>
  <c r="U93" i="3"/>
  <c r="E93" i="3"/>
  <c r="A93" i="3"/>
  <c r="Z92" i="3"/>
  <c r="U92" i="3"/>
  <c r="E92" i="3"/>
  <c r="V92" i="3" s="1"/>
  <c r="A92" i="3"/>
  <c r="Z91" i="3"/>
  <c r="U91" i="3"/>
  <c r="E91" i="3"/>
  <c r="G91" i="3" s="1"/>
  <c r="W91" i="3" s="1"/>
  <c r="A91" i="3"/>
  <c r="Z90" i="3"/>
  <c r="U90" i="3"/>
  <c r="E90" i="3"/>
  <c r="A90" i="3"/>
  <c r="Z89" i="3"/>
  <c r="U89" i="3"/>
  <c r="T89" i="3"/>
  <c r="E89" i="3"/>
  <c r="V89" i="3" s="1"/>
  <c r="A89" i="3"/>
  <c r="Z88" i="3"/>
  <c r="W88" i="3"/>
  <c r="V88" i="3"/>
  <c r="U88" i="3"/>
  <c r="G88" i="3"/>
  <c r="E88" i="3"/>
  <c r="T88" i="3" s="1"/>
  <c r="A88" i="3"/>
  <c r="Z87" i="3"/>
  <c r="U87" i="3"/>
  <c r="E87" i="3"/>
  <c r="A87" i="3"/>
  <c r="Z86" i="3"/>
  <c r="U86" i="3"/>
  <c r="E86" i="3"/>
  <c r="G86" i="3" s="1"/>
  <c r="W86" i="3" s="1"/>
  <c r="A86" i="3"/>
  <c r="Z85" i="3"/>
  <c r="U85" i="3"/>
  <c r="G85" i="3"/>
  <c r="W85" i="3" s="1"/>
  <c r="E85" i="3"/>
  <c r="V85" i="3" s="1"/>
  <c r="A85" i="3"/>
  <c r="Z84" i="3"/>
  <c r="U84" i="3"/>
  <c r="T84" i="3"/>
  <c r="E84" i="3"/>
  <c r="G84" i="3" s="1"/>
  <c r="W84" i="3" s="1"/>
  <c r="A84" i="3"/>
  <c r="Z83" i="3"/>
  <c r="U83" i="3"/>
  <c r="E83" i="3"/>
  <c r="A83" i="3"/>
  <c r="Z82" i="3"/>
  <c r="U82" i="3"/>
  <c r="G82" i="3"/>
  <c r="W82" i="3" s="1"/>
  <c r="E82" i="3"/>
  <c r="A82" i="3"/>
  <c r="Z81" i="3"/>
  <c r="U81" i="3"/>
  <c r="E81" i="3"/>
  <c r="V81" i="3" s="1"/>
  <c r="A81" i="3"/>
  <c r="Z80" i="3"/>
  <c r="U80" i="3"/>
  <c r="E80" i="3"/>
  <c r="G80" i="3" s="1"/>
  <c r="W80" i="3" s="1"/>
  <c r="A80" i="3"/>
  <c r="Z79" i="3"/>
  <c r="U79" i="3"/>
  <c r="E79" i="3"/>
  <c r="A79" i="3"/>
  <c r="Z78" i="3"/>
  <c r="U78" i="3"/>
  <c r="E78" i="3"/>
  <c r="G78" i="3" s="1"/>
  <c r="W78" i="3" s="1"/>
  <c r="A78" i="3"/>
  <c r="Z77" i="3"/>
  <c r="U77" i="3"/>
  <c r="T77" i="3"/>
  <c r="G77" i="3"/>
  <c r="W77" i="3" s="1"/>
  <c r="E77" i="3"/>
  <c r="V77" i="3" s="1"/>
  <c r="A77" i="3"/>
  <c r="Z76" i="3"/>
  <c r="W76" i="3"/>
  <c r="V76" i="3"/>
  <c r="U76" i="3"/>
  <c r="T76" i="3"/>
  <c r="E76" i="3"/>
  <c r="G76" i="3" s="1"/>
  <c r="A76" i="3"/>
  <c r="Z75" i="3"/>
  <c r="U75" i="3"/>
  <c r="E75" i="3"/>
  <c r="A75" i="3"/>
  <c r="Z74" i="3"/>
  <c r="U74" i="3"/>
  <c r="E74" i="3"/>
  <c r="G74" i="3" s="1"/>
  <c r="W74" i="3" s="1"/>
  <c r="A74" i="3"/>
  <c r="Z73" i="3"/>
  <c r="U73" i="3"/>
  <c r="G73" i="3"/>
  <c r="W73" i="3" s="1"/>
  <c r="E73" i="3"/>
  <c r="V73" i="3" s="1"/>
  <c r="A73" i="3"/>
  <c r="Z72" i="3"/>
  <c r="W72" i="3"/>
  <c r="V72" i="3"/>
  <c r="U72" i="3"/>
  <c r="T72" i="3"/>
  <c r="E72" i="3"/>
  <c r="G72" i="3" s="1"/>
  <c r="A72" i="3"/>
  <c r="Z71" i="3"/>
  <c r="U71" i="3"/>
  <c r="E71" i="3"/>
  <c r="A71" i="3"/>
  <c r="Z70" i="3"/>
  <c r="U70" i="3"/>
  <c r="E70" i="3"/>
  <c r="G70" i="3" s="1"/>
  <c r="W70" i="3" s="1"/>
  <c r="A70" i="3"/>
  <c r="Z69" i="3"/>
  <c r="U69" i="3"/>
  <c r="G69" i="3"/>
  <c r="W69" i="3" s="1"/>
  <c r="E69" i="3"/>
  <c r="V69" i="3" s="1"/>
  <c r="A69" i="3"/>
  <c r="Z68" i="3"/>
  <c r="U68" i="3"/>
  <c r="T68" i="3"/>
  <c r="E68" i="3"/>
  <c r="G68" i="3" s="1"/>
  <c r="W68" i="3" s="1"/>
  <c r="A68" i="3"/>
  <c r="Z67" i="3"/>
  <c r="U67" i="3"/>
  <c r="E67" i="3"/>
  <c r="A67" i="3"/>
  <c r="Z66" i="3"/>
  <c r="U66" i="3"/>
  <c r="G66" i="3"/>
  <c r="W66" i="3" s="1"/>
  <c r="E66" i="3"/>
  <c r="A66" i="3"/>
  <c r="Z65" i="3"/>
  <c r="U65" i="3"/>
  <c r="E65" i="3"/>
  <c r="V65" i="3" s="1"/>
  <c r="A65" i="3"/>
  <c r="Z64" i="3"/>
  <c r="U64" i="3"/>
  <c r="E64" i="3"/>
  <c r="G64" i="3" s="1"/>
  <c r="W64" i="3" s="1"/>
  <c r="A64" i="3"/>
  <c r="Z63" i="3"/>
  <c r="U63" i="3"/>
  <c r="E63" i="3"/>
  <c r="A63" i="3"/>
  <c r="Z62" i="3"/>
  <c r="U62" i="3"/>
  <c r="G62" i="3"/>
  <c r="W62" i="3" s="1"/>
  <c r="E62" i="3"/>
  <c r="A62" i="3"/>
  <c r="Z61" i="3"/>
  <c r="U61" i="3"/>
  <c r="T61" i="3"/>
  <c r="G61" i="3"/>
  <c r="W61" i="3" s="1"/>
  <c r="E61" i="3"/>
  <c r="V61" i="3" s="1"/>
  <c r="A61" i="3"/>
  <c r="Z60" i="3"/>
  <c r="U60" i="3"/>
  <c r="E60" i="3"/>
  <c r="G60" i="3" s="1"/>
  <c r="W60" i="3" s="1"/>
  <c r="A60" i="3"/>
  <c r="Z59" i="3"/>
  <c r="U59" i="3"/>
  <c r="E59" i="3"/>
  <c r="A59" i="3"/>
  <c r="Z58" i="3"/>
  <c r="U58" i="3"/>
  <c r="E58" i="3"/>
  <c r="G58" i="3" s="1"/>
  <c r="W58" i="3" s="1"/>
  <c r="A58" i="3"/>
  <c r="Z57" i="3"/>
  <c r="U57" i="3"/>
  <c r="T57" i="3"/>
  <c r="G57" i="3"/>
  <c r="W57" i="3" s="1"/>
  <c r="E57" i="3"/>
  <c r="V57" i="3" s="1"/>
  <c r="A57" i="3"/>
  <c r="Z56" i="3"/>
  <c r="U56" i="3"/>
  <c r="T56" i="3"/>
  <c r="E56" i="3"/>
  <c r="G56" i="3" s="1"/>
  <c r="W56" i="3" s="1"/>
  <c r="A56" i="3"/>
  <c r="Z55" i="3"/>
  <c r="U55" i="3"/>
  <c r="E55" i="3"/>
  <c r="A55" i="3"/>
  <c r="Z54" i="3"/>
  <c r="U54" i="3"/>
  <c r="G54" i="3"/>
  <c r="W54" i="3" s="1"/>
  <c r="E54" i="3"/>
  <c r="A54" i="3"/>
  <c r="Z53" i="3"/>
  <c r="U53" i="3"/>
  <c r="T53" i="3"/>
  <c r="E53" i="3"/>
  <c r="V53" i="3" s="1"/>
  <c r="A53" i="3"/>
  <c r="Z52" i="3"/>
  <c r="V52" i="3"/>
  <c r="U52" i="3"/>
  <c r="T52" i="3"/>
  <c r="E52" i="3"/>
  <c r="G52" i="3" s="1"/>
  <c r="W52" i="3" s="1"/>
  <c r="A52" i="3"/>
  <c r="Z51" i="3"/>
  <c r="U51" i="3"/>
  <c r="E51" i="3"/>
  <c r="A51" i="3"/>
  <c r="Z50" i="3"/>
  <c r="U50" i="3"/>
  <c r="E50" i="3"/>
  <c r="G50" i="3" s="1"/>
  <c r="W50" i="3" s="1"/>
  <c r="A50" i="3"/>
  <c r="Z49" i="3"/>
  <c r="U49" i="3"/>
  <c r="T49" i="3"/>
  <c r="G49" i="3"/>
  <c r="W49" i="3" s="1"/>
  <c r="E49" i="3"/>
  <c r="V49" i="3" s="1"/>
  <c r="A49" i="3"/>
  <c r="Z48" i="3"/>
  <c r="V48" i="3"/>
  <c r="U48" i="3"/>
  <c r="E48" i="3"/>
  <c r="G48" i="3" s="1"/>
  <c r="W48" i="3" s="1"/>
  <c r="A48" i="3"/>
  <c r="Z47" i="3"/>
  <c r="U47" i="3"/>
  <c r="E47" i="3"/>
  <c r="A47" i="3"/>
  <c r="Z46" i="3"/>
  <c r="U46" i="3"/>
  <c r="G46" i="3"/>
  <c r="W46" i="3" s="1"/>
  <c r="E46" i="3"/>
  <c r="A46" i="3"/>
  <c r="Z45" i="3"/>
  <c r="U45" i="3"/>
  <c r="E45" i="3"/>
  <c r="V45" i="3" s="1"/>
  <c r="A45" i="3"/>
  <c r="Z44" i="3"/>
  <c r="V44" i="3"/>
  <c r="U44" i="3"/>
  <c r="T44" i="3"/>
  <c r="E44" i="3"/>
  <c r="G44" i="3" s="1"/>
  <c r="W44" i="3" s="1"/>
  <c r="A44" i="3"/>
  <c r="Z43" i="3"/>
  <c r="U43" i="3"/>
  <c r="E43" i="3"/>
  <c r="A43" i="3"/>
  <c r="Z42" i="3"/>
  <c r="U42" i="3"/>
  <c r="E42" i="3"/>
  <c r="G42" i="3" s="1"/>
  <c r="W42" i="3" s="1"/>
  <c r="A42" i="3"/>
  <c r="Z41" i="3"/>
  <c r="U41" i="3"/>
  <c r="G41" i="3"/>
  <c r="W41" i="3" s="1"/>
  <c r="E41" i="3"/>
  <c r="V41" i="3" s="1"/>
  <c r="A41" i="3"/>
  <c r="Z40" i="3"/>
  <c r="U40" i="3"/>
  <c r="E40" i="3"/>
  <c r="G40" i="3" s="1"/>
  <c r="W40" i="3" s="1"/>
  <c r="A40" i="3"/>
  <c r="Z39" i="3"/>
  <c r="U39" i="3"/>
  <c r="E39" i="3"/>
  <c r="A39" i="3"/>
  <c r="Z38" i="3"/>
  <c r="U38" i="3"/>
  <c r="E38" i="3"/>
  <c r="G38" i="3" s="1"/>
  <c r="W38" i="3" s="1"/>
  <c r="A38" i="3"/>
  <c r="Z37" i="3"/>
  <c r="U37" i="3"/>
  <c r="E37" i="3"/>
  <c r="V37" i="3" s="1"/>
  <c r="A37" i="3"/>
  <c r="Z36" i="3"/>
  <c r="U36" i="3"/>
  <c r="T36" i="3"/>
  <c r="E36" i="3"/>
  <c r="G36" i="3" s="1"/>
  <c r="W36" i="3" s="1"/>
  <c r="A36" i="3"/>
  <c r="Z35" i="3"/>
  <c r="U35" i="3"/>
  <c r="E35" i="3"/>
  <c r="A35" i="3"/>
  <c r="Z34" i="3"/>
  <c r="U34" i="3"/>
  <c r="G34" i="3"/>
  <c r="W34" i="3" s="1"/>
  <c r="E34" i="3"/>
  <c r="A34" i="3"/>
  <c r="Z33" i="3"/>
  <c r="U33" i="3"/>
  <c r="E33" i="3"/>
  <c r="V33" i="3" s="1"/>
  <c r="A33" i="3"/>
  <c r="Z32" i="3"/>
  <c r="U32" i="3"/>
  <c r="E32" i="3"/>
  <c r="G32" i="3" s="1"/>
  <c r="W32" i="3" s="1"/>
  <c r="A32" i="3"/>
  <c r="Z31" i="3"/>
  <c r="U31" i="3"/>
  <c r="E31" i="3"/>
  <c r="A31" i="3"/>
  <c r="Z30" i="3"/>
  <c r="U30" i="3"/>
  <c r="G30" i="3"/>
  <c r="W30" i="3" s="1"/>
  <c r="E30" i="3"/>
  <c r="A30" i="3"/>
  <c r="Z29" i="3"/>
  <c r="U29" i="3"/>
  <c r="T29" i="3"/>
  <c r="G29" i="3"/>
  <c r="W29" i="3" s="1"/>
  <c r="E29" i="3"/>
  <c r="V29" i="3" s="1"/>
  <c r="A29" i="3"/>
  <c r="Z28" i="3"/>
  <c r="U28" i="3"/>
  <c r="E28" i="3"/>
  <c r="G28" i="3" s="1"/>
  <c r="W28" i="3" s="1"/>
  <c r="A28" i="3"/>
  <c r="Z27" i="3"/>
  <c r="U27" i="3"/>
  <c r="E27" i="3"/>
  <c r="A27" i="3"/>
  <c r="Z26" i="3"/>
  <c r="U26" i="3"/>
  <c r="E26" i="3"/>
  <c r="G26" i="3" s="1"/>
  <c r="W26" i="3" s="1"/>
  <c r="A26" i="3"/>
  <c r="Z25" i="3"/>
  <c r="U25" i="3"/>
  <c r="T25" i="3"/>
  <c r="G25" i="3"/>
  <c r="W25" i="3" s="1"/>
  <c r="E25" i="3"/>
  <c r="V25" i="3" s="1"/>
  <c r="A25" i="3"/>
  <c r="Z24" i="3"/>
  <c r="U24" i="3"/>
  <c r="T24" i="3"/>
  <c r="E24" i="3"/>
  <c r="G24" i="3" s="1"/>
  <c r="W24" i="3" s="1"/>
  <c r="A24" i="3"/>
  <c r="Z23" i="3"/>
  <c r="U23" i="3"/>
  <c r="E23" i="3"/>
  <c r="A23" i="3"/>
  <c r="Z22" i="3"/>
  <c r="U22" i="3"/>
  <c r="G22" i="3"/>
  <c r="W22" i="3" s="1"/>
  <c r="E22" i="3"/>
  <c r="A22" i="3"/>
  <c r="Z21" i="3"/>
  <c r="U21" i="3"/>
  <c r="T21" i="3"/>
  <c r="E21" i="3"/>
  <c r="V21" i="3" s="1"/>
  <c r="A21" i="3"/>
  <c r="Z20" i="3"/>
  <c r="V20" i="3"/>
  <c r="U20" i="3"/>
  <c r="T20" i="3"/>
  <c r="E20" i="3"/>
  <c r="G20" i="3" s="1"/>
  <c r="W20" i="3" s="1"/>
  <c r="A20" i="3"/>
  <c r="Z19" i="3"/>
  <c r="U19" i="3"/>
  <c r="E19" i="3"/>
  <c r="A19" i="3"/>
  <c r="Z18" i="3"/>
  <c r="U18" i="3"/>
  <c r="E18" i="3"/>
  <c r="G18" i="3" s="1"/>
  <c r="W18" i="3" s="1"/>
  <c r="A18" i="3"/>
  <c r="Z17" i="3"/>
  <c r="U17" i="3"/>
  <c r="T17" i="3"/>
  <c r="G17" i="3"/>
  <c r="W17" i="3" s="1"/>
  <c r="E17" i="3"/>
  <c r="V17" i="3" s="1"/>
  <c r="A17" i="3"/>
  <c r="Z16" i="3"/>
  <c r="V16" i="3"/>
  <c r="U16" i="3"/>
  <c r="E16" i="3"/>
  <c r="G16" i="3" s="1"/>
  <c r="W16" i="3" s="1"/>
  <c r="A16" i="3"/>
  <c r="Z15" i="3"/>
  <c r="U15" i="3"/>
  <c r="E15" i="3"/>
  <c r="A15" i="3"/>
  <c r="Z14" i="3"/>
  <c r="U14" i="3"/>
  <c r="G14" i="3"/>
  <c r="W14" i="3" s="1"/>
  <c r="E14" i="3"/>
  <c r="A14" i="3"/>
  <c r="Z13" i="3"/>
  <c r="U13" i="3"/>
  <c r="E13" i="3"/>
  <c r="V13" i="3" s="1"/>
  <c r="A13" i="3"/>
  <c r="Z12" i="3"/>
  <c r="V12" i="3"/>
  <c r="U12" i="3"/>
  <c r="T12" i="3"/>
  <c r="E12" i="3"/>
  <c r="G12" i="3" s="1"/>
  <c r="W12" i="3" s="1"/>
  <c r="A12" i="3"/>
  <c r="Z11" i="3"/>
  <c r="U11" i="3"/>
  <c r="E11" i="3"/>
  <c r="A11" i="3"/>
  <c r="Z10" i="3"/>
  <c r="U10" i="3"/>
  <c r="E10" i="3"/>
  <c r="G10" i="3" s="1"/>
  <c r="W10" i="3" s="1"/>
  <c r="A10" i="3"/>
  <c r="Z9" i="3"/>
  <c r="U9" i="3"/>
  <c r="T9" i="3"/>
  <c r="G9" i="3"/>
  <c r="W9" i="3" s="1"/>
  <c r="E9" i="3"/>
  <c r="V9" i="3" s="1"/>
  <c r="A9" i="3"/>
  <c r="Z8" i="3"/>
  <c r="E8" i="3"/>
  <c r="G8" i="3" s="1"/>
  <c r="W8" i="3" s="1"/>
  <c r="A8" i="3"/>
  <c r="S8" i="3" s="1"/>
  <c r="Z7" i="3"/>
  <c r="E7" i="3"/>
  <c r="G7" i="3" s="1"/>
  <c r="A7" i="3"/>
  <c r="S7" i="3" s="1"/>
  <c r="T7" i="3" s="1"/>
  <c r="Z6" i="3"/>
  <c r="E6" i="3"/>
  <c r="A6" i="3"/>
  <c r="S6" i="3" s="1"/>
  <c r="K2" i="2"/>
  <c r="B9" i="2" s="1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G131" i="3" l="1"/>
  <c r="W131" i="3" s="1"/>
  <c r="T166" i="3"/>
  <c r="G171" i="3"/>
  <c r="W171" i="3" s="1"/>
  <c r="G179" i="3"/>
  <c r="W179" i="3" s="1"/>
  <c r="T186" i="3"/>
  <c r="T190" i="3"/>
  <c r="T194" i="3"/>
  <c r="T202" i="3"/>
  <c r="T60" i="3"/>
  <c r="G65" i="3"/>
  <c r="W65" i="3" s="1"/>
  <c r="T80" i="3"/>
  <c r="G81" i="3"/>
  <c r="W81" i="3" s="1"/>
  <c r="T158" i="3"/>
  <c r="V24" i="3"/>
  <c r="T32" i="3"/>
  <c r="T33" i="3"/>
  <c r="G37" i="3"/>
  <c r="W37" i="3" s="1"/>
  <c r="V56" i="3"/>
  <c r="T64" i="3"/>
  <c r="T65" i="3"/>
  <c r="T81" i="3"/>
  <c r="G127" i="3"/>
  <c r="W127" i="3" s="1"/>
  <c r="G147" i="3"/>
  <c r="W147" i="3" s="1"/>
  <c r="G151" i="3"/>
  <c r="W151" i="3" s="1"/>
  <c r="T154" i="3"/>
  <c r="T28" i="3"/>
  <c r="G33" i="3"/>
  <c r="W33" i="3" s="1"/>
  <c r="V28" i="3"/>
  <c r="T37" i="3"/>
  <c r="V60" i="3"/>
  <c r="V80" i="3"/>
  <c r="T150" i="3"/>
  <c r="G13" i="3"/>
  <c r="W13" i="3" s="1"/>
  <c r="V32" i="3"/>
  <c r="T40" i="3"/>
  <c r="T41" i="3"/>
  <c r="G45" i="3"/>
  <c r="W45" i="3" s="1"/>
  <c r="V64" i="3"/>
  <c r="T69" i="3"/>
  <c r="T85" i="3"/>
  <c r="G116" i="3"/>
  <c r="W116" i="3" s="1"/>
  <c r="G123" i="3"/>
  <c r="W123" i="3" s="1"/>
  <c r="G139" i="3"/>
  <c r="W139" i="3" s="1"/>
  <c r="G143" i="3"/>
  <c r="W143" i="3" s="1"/>
  <c r="T146" i="3"/>
  <c r="V188" i="3"/>
  <c r="V196" i="3"/>
  <c r="V200" i="3"/>
  <c r="T13" i="3"/>
  <c r="V36" i="3"/>
  <c r="T45" i="3"/>
  <c r="V68" i="3"/>
  <c r="V84" i="3"/>
  <c r="G112" i="3"/>
  <c r="W112" i="3" s="1"/>
  <c r="G119" i="3"/>
  <c r="W119" i="3" s="1"/>
  <c r="V164" i="3"/>
  <c r="V168" i="3"/>
  <c r="T16" i="3"/>
  <c r="G21" i="3"/>
  <c r="W21" i="3" s="1"/>
  <c r="V40" i="3"/>
  <c r="T48" i="3"/>
  <c r="G53" i="3"/>
  <c r="W53" i="3" s="1"/>
  <c r="T73" i="3"/>
  <c r="G89" i="3"/>
  <c r="W89" i="3" s="1"/>
  <c r="G108" i="3"/>
  <c r="W108" i="3" s="1"/>
  <c r="T8" i="3"/>
  <c r="U8" i="3"/>
  <c r="V8" i="3" s="1"/>
  <c r="F9" i="2"/>
  <c r="E6" i="2"/>
  <c r="C9" i="2"/>
  <c r="B10" i="2"/>
  <c r="B5" i="2"/>
  <c r="F7" i="2"/>
  <c r="D10" i="2"/>
  <c r="D5" i="2"/>
  <c r="A8" i="2"/>
  <c r="E10" i="2"/>
  <c r="A7" i="2"/>
  <c r="F5" i="2"/>
  <c r="B8" i="2"/>
  <c r="J5" i="2"/>
  <c r="E8" i="2"/>
  <c r="D7" i="2"/>
  <c r="C6" i="2"/>
  <c r="E15" i="1"/>
  <c r="E19" i="1"/>
  <c r="E21" i="1"/>
  <c r="E16" i="1"/>
  <c r="D20" i="1"/>
  <c r="E17" i="1"/>
  <c r="E24" i="1"/>
  <c r="H8" i="1"/>
  <c r="D18" i="1"/>
  <c r="E23" i="1"/>
  <c r="U7" i="3"/>
  <c r="W7" i="3" s="1"/>
  <c r="H5" i="1"/>
  <c r="D21" i="1"/>
  <c r="T93" i="3"/>
  <c r="G93" i="3"/>
  <c r="W93" i="3" s="1"/>
  <c r="V93" i="3"/>
  <c r="G114" i="3"/>
  <c r="W114" i="3" s="1"/>
  <c r="V114" i="3"/>
  <c r="T114" i="3"/>
  <c r="T165" i="3"/>
  <c r="G165" i="3"/>
  <c r="W165" i="3" s="1"/>
  <c r="T197" i="3"/>
  <c r="G197" i="3"/>
  <c r="W197" i="3" s="1"/>
  <c r="E13" i="1"/>
  <c r="D14" i="1"/>
  <c r="D22" i="1"/>
  <c r="V107" i="3"/>
  <c r="T107" i="3"/>
  <c r="G107" i="3"/>
  <c r="W107" i="3" s="1"/>
  <c r="T145" i="3"/>
  <c r="G145" i="3"/>
  <c r="W145" i="3" s="1"/>
  <c r="V145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11" i="3"/>
  <c r="G11" i="3"/>
  <c r="W11" i="3" s="1"/>
  <c r="T15" i="3"/>
  <c r="G15" i="3"/>
  <c r="W15" i="3" s="1"/>
  <c r="T19" i="3"/>
  <c r="G19" i="3"/>
  <c r="W19" i="3" s="1"/>
  <c r="T23" i="3"/>
  <c r="G23" i="3"/>
  <c r="W23" i="3" s="1"/>
  <c r="T27" i="3"/>
  <c r="G27" i="3"/>
  <c r="W27" i="3" s="1"/>
  <c r="T31" i="3"/>
  <c r="G31" i="3"/>
  <c r="W31" i="3" s="1"/>
  <c r="T35" i="3"/>
  <c r="G35" i="3"/>
  <c r="W35" i="3" s="1"/>
  <c r="T39" i="3"/>
  <c r="G39" i="3"/>
  <c r="W39" i="3" s="1"/>
  <c r="T43" i="3"/>
  <c r="G43" i="3"/>
  <c r="W43" i="3" s="1"/>
  <c r="T47" i="3"/>
  <c r="G47" i="3"/>
  <c r="W47" i="3" s="1"/>
  <c r="T51" i="3"/>
  <c r="G51" i="3"/>
  <c r="W51" i="3" s="1"/>
  <c r="T55" i="3"/>
  <c r="G55" i="3"/>
  <c r="W55" i="3" s="1"/>
  <c r="T59" i="3"/>
  <c r="G59" i="3"/>
  <c r="W59" i="3" s="1"/>
  <c r="T63" i="3"/>
  <c r="G63" i="3"/>
  <c r="W63" i="3" s="1"/>
  <c r="T67" i="3"/>
  <c r="G67" i="3"/>
  <c r="W67" i="3" s="1"/>
  <c r="T71" i="3"/>
  <c r="G71" i="3"/>
  <c r="W71" i="3" s="1"/>
  <c r="T75" i="3"/>
  <c r="G75" i="3"/>
  <c r="W75" i="3" s="1"/>
  <c r="T79" i="3"/>
  <c r="G79" i="3"/>
  <c r="W79" i="3" s="1"/>
  <c r="T83" i="3"/>
  <c r="G83" i="3"/>
  <c r="W83" i="3" s="1"/>
  <c r="T87" i="3"/>
  <c r="G87" i="3"/>
  <c r="W87" i="3" s="1"/>
  <c r="T113" i="3"/>
  <c r="G113" i="3"/>
  <c r="W113" i="3" s="1"/>
  <c r="V113" i="3"/>
  <c r="G126" i="3"/>
  <c r="W126" i="3" s="1"/>
  <c r="V126" i="3"/>
  <c r="T126" i="3"/>
  <c r="G138" i="3"/>
  <c r="W138" i="3" s="1"/>
  <c r="V138" i="3"/>
  <c r="T138" i="3"/>
  <c r="T173" i="3"/>
  <c r="G173" i="3"/>
  <c r="W173" i="3" s="1"/>
  <c r="V173" i="3"/>
  <c r="D24" i="1"/>
  <c r="A5" i="2"/>
  <c r="B6" i="2"/>
  <c r="C7" i="2"/>
  <c r="D8" i="2"/>
  <c r="E9" i="2"/>
  <c r="V10" i="3"/>
  <c r="T10" i="3"/>
  <c r="V14" i="3"/>
  <c r="T14" i="3"/>
  <c r="V18" i="3"/>
  <c r="T18" i="3"/>
  <c r="V22" i="3"/>
  <c r="T22" i="3"/>
  <c r="V26" i="3"/>
  <c r="T26" i="3"/>
  <c r="V30" i="3"/>
  <c r="T30" i="3"/>
  <c r="V34" i="3"/>
  <c r="T34" i="3"/>
  <c r="V38" i="3"/>
  <c r="T38" i="3"/>
  <c r="V42" i="3"/>
  <c r="T42" i="3"/>
  <c r="V46" i="3"/>
  <c r="T46" i="3"/>
  <c r="V50" i="3"/>
  <c r="T50" i="3"/>
  <c r="V54" i="3"/>
  <c r="T54" i="3"/>
  <c r="V58" i="3"/>
  <c r="T58" i="3"/>
  <c r="V62" i="3"/>
  <c r="T62" i="3"/>
  <c r="V66" i="3"/>
  <c r="T66" i="3"/>
  <c r="V70" i="3"/>
  <c r="T70" i="3"/>
  <c r="V74" i="3"/>
  <c r="T74" i="3"/>
  <c r="V78" i="3"/>
  <c r="T78" i="3"/>
  <c r="V82" i="3"/>
  <c r="T82" i="3"/>
  <c r="V86" i="3"/>
  <c r="T86" i="3"/>
  <c r="V91" i="3"/>
  <c r="T91" i="3"/>
  <c r="G106" i="3"/>
  <c r="W106" i="3" s="1"/>
  <c r="V106" i="3"/>
  <c r="T106" i="3"/>
  <c r="G118" i="3"/>
  <c r="W118" i="3" s="1"/>
  <c r="V118" i="3"/>
  <c r="G130" i="3"/>
  <c r="W130" i="3" s="1"/>
  <c r="V130" i="3"/>
  <c r="V165" i="3"/>
  <c r="V197" i="3"/>
  <c r="V90" i="3"/>
  <c r="T90" i="3"/>
  <c r="V111" i="3"/>
  <c r="T111" i="3"/>
  <c r="G111" i="3"/>
  <c r="W111" i="3" s="1"/>
  <c r="T137" i="3"/>
  <c r="G137" i="3"/>
  <c r="W137" i="3" s="1"/>
  <c r="V137" i="3"/>
  <c r="B5" i="1"/>
  <c r="C5" i="2"/>
  <c r="D6" i="2"/>
  <c r="E7" i="2"/>
  <c r="F8" i="2"/>
  <c r="A10" i="2"/>
  <c r="G6" i="3"/>
  <c r="V11" i="3"/>
  <c r="V15" i="3"/>
  <c r="V19" i="3"/>
  <c r="V23" i="3"/>
  <c r="V27" i="3"/>
  <c r="V31" i="3"/>
  <c r="V35" i="3"/>
  <c r="V39" i="3"/>
  <c r="V43" i="3"/>
  <c r="V47" i="3"/>
  <c r="V51" i="3"/>
  <c r="V55" i="3"/>
  <c r="V59" i="3"/>
  <c r="V63" i="3"/>
  <c r="V67" i="3"/>
  <c r="V71" i="3"/>
  <c r="V75" i="3"/>
  <c r="V79" i="3"/>
  <c r="V83" i="3"/>
  <c r="V87" i="3"/>
  <c r="G90" i="3"/>
  <c r="W90" i="3" s="1"/>
  <c r="V95" i="3"/>
  <c r="T95" i="3"/>
  <c r="T117" i="3"/>
  <c r="G117" i="3"/>
  <c r="W117" i="3" s="1"/>
  <c r="V117" i="3"/>
  <c r="T118" i="3"/>
  <c r="T129" i="3"/>
  <c r="G129" i="3"/>
  <c r="W129" i="3" s="1"/>
  <c r="V129" i="3"/>
  <c r="T130" i="3"/>
  <c r="T161" i="3"/>
  <c r="G161" i="3"/>
  <c r="W161" i="3" s="1"/>
  <c r="V161" i="3"/>
  <c r="T185" i="3"/>
  <c r="G185" i="3"/>
  <c r="W185" i="3" s="1"/>
  <c r="V185" i="3"/>
  <c r="T193" i="3"/>
  <c r="G193" i="3"/>
  <c r="W193" i="3" s="1"/>
  <c r="V193" i="3"/>
  <c r="G94" i="3"/>
  <c r="W94" i="3" s="1"/>
  <c r="V94" i="3"/>
  <c r="G95" i="3"/>
  <c r="W95" i="3" s="1"/>
  <c r="G110" i="3"/>
  <c r="W110" i="3" s="1"/>
  <c r="V110" i="3"/>
  <c r="T110" i="3"/>
  <c r="V115" i="3"/>
  <c r="T115" i="3"/>
  <c r="E5" i="2"/>
  <c r="F6" i="2"/>
  <c r="J7" i="2"/>
  <c r="A9" i="2"/>
  <c r="C10" i="2"/>
  <c r="T6" i="3"/>
  <c r="T153" i="3"/>
  <c r="G153" i="3"/>
  <c r="W153" i="3" s="1"/>
  <c r="V153" i="3"/>
  <c r="G102" i="3"/>
  <c r="W102" i="3" s="1"/>
  <c r="V102" i="3"/>
  <c r="V103" i="3"/>
  <c r="T103" i="3"/>
  <c r="T105" i="3"/>
  <c r="G105" i="3"/>
  <c r="W105" i="3" s="1"/>
  <c r="T109" i="3"/>
  <c r="G109" i="3"/>
  <c r="W109" i="3" s="1"/>
  <c r="T125" i="3"/>
  <c r="G125" i="3"/>
  <c r="W125" i="3" s="1"/>
  <c r="T181" i="3"/>
  <c r="G181" i="3"/>
  <c r="W181" i="3" s="1"/>
  <c r="T101" i="3"/>
  <c r="G101" i="3"/>
  <c r="W101" i="3" s="1"/>
  <c r="G103" i="3"/>
  <c r="W103" i="3" s="1"/>
  <c r="G134" i="3"/>
  <c r="W134" i="3" s="1"/>
  <c r="V134" i="3"/>
  <c r="T169" i="3"/>
  <c r="G169" i="3"/>
  <c r="W169" i="3" s="1"/>
  <c r="T201" i="3"/>
  <c r="G201" i="3"/>
  <c r="W201" i="3" s="1"/>
  <c r="G98" i="3"/>
  <c r="W98" i="3" s="1"/>
  <c r="V98" i="3"/>
  <c r="V99" i="3"/>
  <c r="T99" i="3"/>
  <c r="T102" i="3"/>
  <c r="G122" i="3"/>
  <c r="W122" i="3" s="1"/>
  <c r="V122" i="3"/>
  <c r="T133" i="3"/>
  <c r="G133" i="3"/>
  <c r="W133" i="3" s="1"/>
  <c r="T189" i="3"/>
  <c r="G189" i="3"/>
  <c r="W189" i="3" s="1"/>
  <c r="T97" i="3"/>
  <c r="G97" i="3"/>
  <c r="W97" i="3" s="1"/>
  <c r="G99" i="3"/>
  <c r="W99" i="3" s="1"/>
  <c r="V105" i="3"/>
  <c r="V109" i="3"/>
  <c r="T121" i="3"/>
  <c r="G121" i="3"/>
  <c r="W121" i="3" s="1"/>
  <c r="V125" i="3"/>
  <c r="T141" i="3"/>
  <c r="G141" i="3"/>
  <c r="W141" i="3" s="1"/>
  <c r="T149" i="3"/>
  <c r="G149" i="3"/>
  <c r="W149" i="3" s="1"/>
  <c r="T157" i="3"/>
  <c r="G157" i="3"/>
  <c r="W157" i="3" s="1"/>
  <c r="T177" i="3"/>
  <c r="G177" i="3"/>
  <c r="W177" i="3" s="1"/>
  <c r="V181" i="3"/>
  <c r="G92" i="3"/>
  <c r="W92" i="3" s="1"/>
  <c r="G96" i="3"/>
  <c r="W96" i="3" s="1"/>
  <c r="G100" i="3"/>
  <c r="W100" i="3" s="1"/>
  <c r="T119" i="3"/>
  <c r="G120" i="3"/>
  <c r="W120" i="3" s="1"/>
  <c r="T123" i="3"/>
  <c r="G124" i="3"/>
  <c r="W124" i="3" s="1"/>
  <c r="T127" i="3"/>
  <c r="G128" i="3"/>
  <c r="W128" i="3" s="1"/>
  <c r="T131" i="3"/>
  <c r="G132" i="3"/>
  <c r="W132" i="3" s="1"/>
  <c r="T135" i="3"/>
  <c r="G136" i="3"/>
  <c r="W136" i="3" s="1"/>
  <c r="T139" i="3"/>
  <c r="G140" i="3"/>
  <c r="W140" i="3" s="1"/>
  <c r="V142" i="3"/>
  <c r="T143" i="3"/>
  <c r="G144" i="3"/>
  <c r="W144" i="3" s="1"/>
  <c r="V146" i="3"/>
  <c r="T147" i="3"/>
  <c r="G148" i="3"/>
  <c r="W148" i="3" s="1"/>
  <c r="V150" i="3"/>
  <c r="T151" i="3"/>
  <c r="G152" i="3"/>
  <c r="W152" i="3" s="1"/>
  <c r="V154" i="3"/>
  <c r="T155" i="3"/>
  <c r="G156" i="3"/>
  <c r="W156" i="3" s="1"/>
  <c r="V158" i="3"/>
  <c r="T159" i="3"/>
  <c r="G160" i="3"/>
  <c r="W160" i="3" s="1"/>
  <c r="V162" i="3"/>
  <c r="T163" i="3"/>
  <c r="G164" i="3"/>
  <c r="W164" i="3" s="1"/>
  <c r="V166" i="3"/>
  <c r="T167" i="3"/>
  <c r="G168" i="3"/>
  <c r="W168" i="3" s="1"/>
  <c r="V170" i="3"/>
  <c r="T171" i="3"/>
  <c r="G172" i="3"/>
  <c r="W172" i="3" s="1"/>
  <c r="V174" i="3"/>
  <c r="T175" i="3"/>
  <c r="G176" i="3"/>
  <c r="W176" i="3" s="1"/>
  <c r="V178" i="3"/>
  <c r="T179" i="3"/>
  <c r="G180" i="3"/>
  <c r="W180" i="3" s="1"/>
  <c r="V182" i="3"/>
  <c r="T183" i="3"/>
  <c r="G184" i="3"/>
  <c r="W184" i="3" s="1"/>
  <c r="V186" i="3"/>
  <c r="T187" i="3"/>
  <c r="G188" i="3"/>
  <c r="W188" i="3" s="1"/>
  <c r="V190" i="3"/>
  <c r="T191" i="3"/>
  <c r="G192" i="3"/>
  <c r="W192" i="3" s="1"/>
  <c r="V194" i="3"/>
  <c r="T195" i="3"/>
  <c r="G196" i="3"/>
  <c r="W196" i="3" s="1"/>
  <c r="V198" i="3"/>
  <c r="T199" i="3"/>
  <c r="G200" i="3"/>
  <c r="W200" i="3" s="1"/>
  <c r="V202" i="3"/>
  <c r="T203" i="3"/>
  <c r="G204" i="3"/>
  <c r="W204" i="3" s="1"/>
  <c r="T92" i="3"/>
  <c r="T96" i="3"/>
  <c r="T100" i="3"/>
  <c r="T104" i="3"/>
  <c r="T112" i="3"/>
  <c r="T116" i="3"/>
  <c r="T120" i="3"/>
  <c r="T124" i="3"/>
  <c r="T128" i="3"/>
  <c r="T132" i="3"/>
  <c r="T136" i="3"/>
  <c r="T140" i="3"/>
  <c r="T144" i="3"/>
  <c r="T148" i="3"/>
  <c r="T152" i="3"/>
  <c r="T156" i="3"/>
  <c r="T160" i="3"/>
  <c r="T204" i="3"/>
  <c r="V7" i="3" l="1"/>
  <c r="Y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J20" i="1" s="1"/>
  <c r="G19" i="1"/>
  <c r="I19" i="1" s="1"/>
  <c r="J6" i="2"/>
  <c r="J8" i="2" s="1"/>
  <c r="G18" i="1"/>
  <c r="I18" i="1" s="1"/>
  <c r="K8" i="1"/>
  <c r="E8" i="1"/>
  <c r="N3" i="1" l="1"/>
  <c r="W6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F7B1BF18-3B4D-4722-A894-EF97CA9955C4}">
      <text>
        <r>
          <rPr>
            <b/>
            <sz val="9"/>
            <color indexed="81"/>
            <rFont val="Segoe UI"/>
            <family val="2"/>
          </rPr>
          <t>Renato.Neves:</t>
        </r>
        <r>
          <rPr>
            <sz val="9"/>
            <color indexed="81"/>
            <rFont val="Segoe UI"/>
            <family val="2"/>
          </rPr>
          <t xml:space="preserve">
2 janelas da frente</t>
        </r>
      </text>
    </comment>
  </commentList>
</comments>
</file>

<file path=xl/sharedStrings.xml><?xml version="1.0" encoding="utf-8"?>
<sst xmlns="http://schemas.openxmlformats.org/spreadsheetml/2006/main" count="161" uniqueCount="119">
  <si>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</si>
  <si>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</si>
  <si>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</si>
  <si>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</si>
  <si>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</si>
  <si>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</si>
  <si>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</si>
  <si>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</si>
  <si>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</si>
  <si>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</si>
  <si>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</si>
  <si>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</si>
  <si>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</si>
  <si>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</si>
  <si>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</si>
  <si>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</si>
  <si>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</si>
  <si>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</si>
  <si>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</si>
  <si>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</si>
  <si>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</si>
  <si>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</si>
  <si>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</si>
  <si>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</si>
  <si>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</si>
  <si>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</si>
  <si>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</si>
  <si>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</si>
  <si>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</si>
  <si>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</si>
  <si>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</si>
  <si>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</si>
  <si>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</si>
  <si>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</si>
  <si>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</si>
  <si>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</si>
  <si>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</si>
  <si>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</si>
  <si>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</si>
  <si>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</si>
  <si>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</si>
  <si>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</si>
  <si>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</si>
  <si>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</si>
  <si>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</si>
  <si>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</si>
  <si>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</si>
  <si>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</si>
  <si>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</si>
  <si>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</si>
  <si>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</si>
  <si>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</si>
  <si>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</si>
  <si>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</si>
  <si>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</si>
  <si>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</si>
  <si>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</si>
  <si>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</si>
  <si>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</si>
  <si>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</si>
  <si>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</si>
  <si>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</si>
  <si>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</si>
  <si>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</si>
  <si>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</si>
  <si>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</si>
  <si>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</si>
  <si>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</si>
  <si>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</si>
  <si>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</si>
  <si>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</si>
  <si>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</si>
  <si>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</si>
  <si>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</si>
  <si>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</si>
  <si>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</si>
  <si>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</si>
  <si>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</si>
  <si>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</si>
  <si>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</si>
  <si>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</si>
  <si>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</si>
  <si>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</si>
  <si>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</si>
  <si>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</si>
  <si>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</si>
  <si>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</si>
  <si>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</si>
  <si>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</si>
  <si>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</si>
  <si>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</si>
  <si>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</si>
  <si>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</si>
  <si>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</si>
  <si>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</si>
  <si>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</si>
  <si>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</si>
  <si>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</si>
  <si>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</si>
  <si>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</si>
  <si>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</si>
  <si>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</si>
  <si>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</si>
  <si>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</si>
  <si>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</si>
  <si>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</si>
  <si>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</si>
  <si>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</si>
  <si>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</si>
  <si>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</si>
  <si>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</si>
  <si>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</si>
  <si>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</si>
  <si>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</si>
  <si>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</si>
  <si>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</si>
  <si>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</si>
  <si>
    <t>Cortesia</t>
  </si>
  <si>
    <t>Louis Renan -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</si>
</sst>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L22" sqref="L22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11000</v>
      </c>
    </row>
    <row r="5" spans="1:14" ht="20.25">
      <c r="A5" s="8" t="s">
        <v>3</v>
      </c>
      <c r="B5" s="9">
        <f>SUM(F13:F24)</f>
        <v>10500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10467.950000000001</v>
      </c>
    </row>
    <row r="8" spans="1:14" ht="15.75">
      <c r="A8" s="8" t="s">
        <v>7</v>
      </c>
      <c r="B8" s="12">
        <f>SUM(C13:C24)</f>
        <v>15</v>
      </c>
      <c r="C8" s="14"/>
      <c r="D8" s="74" t="s">
        <v>8</v>
      </c>
      <c r="E8" s="12">
        <f>SUM(D13:D24)</f>
        <v>350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700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5" t="s">
        <v>18</v>
      </c>
      <c r="M12" s="95"/>
      <c r="N12" s="95"/>
    </row>
    <row r="13" spans="1:14" ht="18">
      <c r="A13" s="15" t="s">
        <v>19</v>
      </c>
      <c r="B13" s="14">
        <f>DAY(EOMONTH(DATE($B$3,1,1),0))</f>
        <v>31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31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</f>
        <v>28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28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</f>
        <v>31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31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</f>
        <v>30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30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</f>
        <v>31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31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</f>
        <v>30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30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</f>
        <v>31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31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</f>
        <v>31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31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</f>
        <v>30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8</v>
      </c>
      <c r="D21" s="89">
        <f t="shared" si="0"/>
        <v>22</v>
      </c>
      <c r="E21" s="6">
        <f t="shared" si="1"/>
        <v>0.26666666666666666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</f>
        <v>31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D22" s="89">
        <f t="shared" si="0"/>
        <v>31</v>
      </c>
      <c r="E22" s="6">
        <f t="shared" si="1"/>
        <v>0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8">
      <c r="A23" s="15" t="s">
        <v>36</v>
      </c>
      <c r="B23" s="14">
        <f>DAY(EOMONTH(DATE($B$3,11,1),0))</f>
        <v>30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30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</f>
        <v>31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7</v>
      </c>
      <c r="D24" s="90">
        <f t="shared" si="0"/>
        <v>24</v>
      </c>
      <c r="E24" s="19">
        <f t="shared" si="1"/>
        <v>0.22580645161290322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7700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A7" workbookViewId="0">
      <selection activeCell="O9" sqref="O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3" t="s">
        <v>38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6" t="s">
        <v>47</v>
      </c>
      <c r="J4" s="96"/>
      <c r="K4" s="96"/>
      <c r="L4" s="96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5" t="s">
        <v>48</v>
      </c>
      <c r="J12" s="95"/>
      <c r="K12" s="95"/>
      <c r="L12" s="95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4"/>
  <sheetViews>
    <sheetView tabSelected="1" topLeftCell="J1" workbookViewId="0">
      <selection activeCell="Y6" sqref="Y6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3" t="s">
        <v>55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3" spans="1:27">
      <c r="A3" s="94" t="s">
        <v>56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6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69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54" t="s">
        <v>99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</row>
    <row r="8" spans="1:27">
      <c r="A8" s="62" t="str">
        <f t="shared" si="0"/>
        <v>LOC-003</v>
      </c>
      <c r="B8" s="43" t="s">
        <v>118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95</v>
      </c>
      <c r="I8" s="43" t="s">
        <v>82</v>
      </c>
      <c r="J8" s="54" t="s">
        <v>117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</row>
    <row r="9" spans="1:27">
      <c r="A9" s="62" t="str">
        <f t="shared" si="0"/>
        <v/>
      </c>
      <c r="B9" s="43"/>
      <c r="C9" s="45"/>
      <c r="D9" s="45"/>
      <c r="E9" s="50">
        <f t="shared" si="1"/>
        <v>0</v>
      </c>
      <c r="F9" s="47"/>
      <c r="G9" s="51">
        <f t="shared" si="2"/>
        <v>0</v>
      </c>
      <c r="H9" s="43"/>
      <c r="I9" s="43"/>
      <c r="J9" s="54"/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/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54"/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8">
        <f t="shared" si="7"/>
        <v>0</v>
      </c>
      <c r="Z10" s="49" t="str">
        <f t="shared" si="8"/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54"/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8">
        <f t="shared" si="7"/>
        <v>0</v>
      </c>
      <c r="Z11" s="49" t="str">
        <f t="shared" si="8"/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8">
        <f t="shared" si="7"/>
        <v>0</v>
      </c>
      <c r="Z12" s="49" t="str">
        <f t="shared" si="8"/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8">
        <f t="shared" si="7"/>
        <v>0</v>
      </c>
      <c r="Z13" s="49" t="str">
        <f t="shared" si="8"/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8">
        <f t="shared" si="7"/>
        <v>0</v>
      </c>
      <c r="Z14" s="49" t="str">
        <f t="shared" si="8"/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 t="shared" si="8"/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8">
        <f t="shared" si="7"/>
        <v>0</v>
      </c>
      <c r="Z36" s="49" t="str">
        <f t="shared" si="8"/>
        <v/>
      </c>
      <c r="AA36" s="63"/>
    </row>
    <row r="37" spans="1:27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8">
        <f t="shared" si="7"/>
        <v>0</v>
      </c>
      <c r="Z37" s="49" t="str">
        <f t="shared" si="8"/>
        <v/>
      </c>
      <c r="AA37" s="63"/>
    </row>
    <row r="38" spans="1:27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8">
        <f t="shared" si="7"/>
        <v>0</v>
      </c>
      <c r="Z38" s="49" t="str">
        <f t="shared" ref="Z38:Z69" si="16">IF(B38="","",IF(COUNTIFS($C$6:$C$204,"&lt;"&amp;D38,$D$6:$D$204,"&gt;"&amp;C38,$I$6:$I$204,"&lt;&gt;Cancelada",$I$6:$I$204,"&lt;&gt;Consulta")&gt;1,"CONFLITO","OK"))</f>
        <v/>
      </c>
      <c r="AA38" s="63"/>
    </row>
    <row r="39" spans="1:27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8">
        <f t="shared" si="7"/>
        <v>0</v>
      </c>
      <c r="Z39" s="49" t="str">
        <f t="shared" si="16"/>
        <v/>
      </c>
      <c r="AA39" s="63"/>
    </row>
    <row r="40" spans="1:27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8">
        <f t="shared" si="7"/>
        <v>0</v>
      </c>
      <c r="Z40" s="49" t="str">
        <f t="shared" si="16"/>
        <v/>
      </c>
      <c r="AA40" s="63"/>
    </row>
    <row r="41" spans="1:27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8">
        <f t="shared" si="7"/>
        <v>0</v>
      </c>
      <c r="Z41" s="49" t="str">
        <f t="shared" si="16"/>
        <v/>
      </c>
      <c r="AA41" s="63"/>
    </row>
    <row r="42" spans="1:27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8">
        <f t="shared" si="7"/>
        <v>0</v>
      </c>
      <c r="Z42" s="49" t="str">
        <f t="shared" si="16"/>
        <v/>
      </c>
      <c r="AA42" s="63"/>
    </row>
    <row r="43" spans="1:27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8">
        <f t="shared" si="7"/>
        <v>0</v>
      </c>
      <c r="Z43" s="49" t="str">
        <f t="shared" si="16"/>
        <v/>
      </c>
      <c r="AA43" s="63"/>
    </row>
    <row r="44" spans="1:27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8">
        <f t="shared" si="7"/>
        <v>0</v>
      </c>
      <c r="Z44" s="49" t="str">
        <f t="shared" si="16"/>
        <v/>
      </c>
      <c r="AA44" s="63"/>
    </row>
    <row r="45" spans="1:27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8">
        <f t="shared" si="7"/>
        <v>0</v>
      </c>
      <c r="Z45" s="49" t="str">
        <f t="shared" si="16"/>
        <v/>
      </c>
      <c r="AA45" s="63"/>
    </row>
    <row r="46" spans="1:27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8">
        <f t="shared" si="7"/>
        <v>0</v>
      </c>
      <c r="Z46" s="49" t="str">
        <f t="shared" si="16"/>
        <v/>
      </c>
      <c r="AA46" s="63"/>
    </row>
    <row r="47" spans="1:27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8">
        <f t="shared" si="7"/>
        <v>0</v>
      </c>
      <c r="Z47" s="49" t="str">
        <f t="shared" si="16"/>
        <v/>
      </c>
      <c r="AA47" s="63"/>
    </row>
    <row r="48" spans="1:27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8">
        <f t="shared" si="7"/>
        <v>0</v>
      </c>
      <c r="Z48" s="49" t="str">
        <f t="shared" si="16"/>
        <v/>
      </c>
      <c r="AA48" s="63"/>
    </row>
    <row r="49" spans="1:27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8">
        <f t="shared" si="7"/>
        <v>0</v>
      </c>
      <c r="Z49" s="49" t="str">
        <f t="shared" si="16"/>
        <v/>
      </c>
      <c r="AA49" s="63"/>
    </row>
    <row r="50" spans="1:27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8">
        <f t="shared" si="7"/>
        <v>0</v>
      </c>
      <c r="Z50" s="49" t="str">
        <f t="shared" si="16"/>
        <v/>
      </c>
      <c r="AA50" s="63"/>
    </row>
    <row r="51" spans="1:27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8">
        <f t="shared" si="7"/>
        <v>0</v>
      </c>
      <c r="Z51" s="49" t="str">
        <f t="shared" si="16"/>
        <v/>
      </c>
      <c r="AA51" s="63"/>
    </row>
    <row r="52" spans="1:27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8">
        <f t="shared" si="7"/>
        <v>0</v>
      </c>
      <c r="Z52" s="49" t="str">
        <f t="shared" si="16"/>
        <v/>
      </c>
      <c r="AA52" s="63"/>
    </row>
    <row r="53" spans="1:27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8">
        <f t="shared" si="7"/>
        <v>0</v>
      </c>
      <c r="Z53" s="49" t="str">
        <f t="shared" si="16"/>
        <v/>
      </c>
      <c r="AA53" s="63"/>
    </row>
    <row r="54" spans="1:27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8">
        <f t="shared" si="7"/>
        <v>0</v>
      </c>
      <c r="Z54" s="49" t="str">
        <f t="shared" si="16"/>
        <v/>
      </c>
      <c r="AA54" s="63"/>
    </row>
    <row r="55" spans="1:27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8">
        <f t="shared" si="7"/>
        <v>0</v>
      </c>
      <c r="Z55" s="49" t="str">
        <f t="shared" si="16"/>
        <v/>
      </c>
      <c r="AA55" s="63"/>
    </row>
    <row r="56" spans="1:27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8">
        <f t="shared" si="7"/>
        <v>0</v>
      </c>
      <c r="Z56" s="49" t="str">
        <f t="shared" si="16"/>
        <v/>
      </c>
      <c r="AA56" s="63"/>
    </row>
    <row r="57" spans="1:27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8">
        <f t="shared" si="7"/>
        <v>0</v>
      </c>
      <c r="Z57" s="49" t="str">
        <f t="shared" si="16"/>
        <v/>
      </c>
      <c r="AA57" s="63"/>
    </row>
    <row r="58" spans="1:27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8">
        <f t="shared" si="7"/>
        <v>0</v>
      </c>
      <c r="Z58" s="49" t="str">
        <f t="shared" si="16"/>
        <v/>
      </c>
      <c r="AA58" s="63"/>
    </row>
    <row r="59" spans="1:27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8">
        <f t="shared" si="7"/>
        <v>0</v>
      </c>
      <c r="Z59" s="49" t="str">
        <f t="shared" si="16"/>
        <v/>
      </c>
      <c r="AA59" s="63"/>
    </row>
    <row r="60" spans="1:27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8">
        <f t="shared" si="7"/>
        <v>0</v>
      </c>
      <c r="Z60" s="49" t="str">
        <f t="shared" si="16"/>
        <v/>
      </c>
      <c r="AA60" s="63"/>
    </row>
    <row r="61" spans="1:27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8">
        <f t="shared" si="7"/>
        <v>0</v>
      </c>
      <c r="Z61" s="49" t="str">
        <f t="shared" si="16"/>
        <v/>
      </c>
      <c r="AA61" s="63"/>
    </row>
    <row r="62" spans="1:27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8">
        <f t="shared" si="7"/>
        <v>0</v>
      </c>
      <c r="Z62" s="49" t="str">
        <f t="shared" si="16"/>
        <v/>
      </c>
      <c r="AA62" s="63"/>
    </row>
    <row r="63" spans="1:27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8">
        <f t="shared" si="7"/>
        <v>0</v>
      </c>
      <c r="Z63" s="49" t="str">
        <f t="shared" si="16"/>
        <v/>
      </c>
      <c r="AA63" s="63"/>
    </row>
    <row r="64" spans="1:27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8">
        <f t="shared" si="7"/>
        <v>0</v>
      </c>
      <c r="Z64" s="49" t="str">
        <f t="shared" si="16"/>
        <v/>
      </c>
      <c r="AA64" s="63"/>
    </row>
    <row r="65" spans="1:27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4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8">
        <f t="shared" si="7"/>
        <v>0</v>
      </c>
      <c r="Z65" s="49" t="str">
        <f t="shared" si="16"/>
        <v/>
      </c>
      <c r="AA65" s="64"/>
    </row>
    <row r="66" spans="1:27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4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8">
        <f t="shared" si="7"/>
        <v>0</v>
      </c>
      <c r="Z66" s="49" t="str">
        <f t="shared" si="16"/>
        <v/>
      </c>
      <c r="AA66" s="64"/>
    </row>
    <row r="67" spans="1:27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4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8">
        <f t="shared" si="7"/>
        <v>0</v>
      </c>
      <c r="Z67" s="49" t="str">
        <f t="shared" si="16"/>
        <v/>
      </c>
      <c r="AA67" s="64"/>
    </row>
    <row r="68" spans="1:27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4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8">
        <f t="shared" si="7"/>
        <v>0</v>
      </c>
      <c r="Z68" s="49" t="str">
        <f t="shared" si="16"/>
        <v/>
      </c>
      <c r="AA68" s="64"/>
    </row>
    <row r="69" spans="1:27">
      <c r="A69" s="62" t="str">
        <f t="shared" ref="A69:A100" si="17">IF(B69="","","LOC-"&amp;TEXT(ROW()-5,"000"))</f>
        <v/>
      </c>
      <c r="B69" s="44"/>
      <c r="C69" s="46"/>
      <c r="D69" s="46"/>
      <c r="E69" s="50">
        <f t="shared" ref="E69:E100" si="18">IF(OR(B69="",C69="",D69=""),0,MAX(0,D69-C69))</f>
        <v>0</v>
      </c>
      <c r="F69" s="48"/>
      <c r="G69" s="51">
        <f t="shared" ref="G69:G100" si="19">IF(OR(B69="",E69=0,F69=""),0,E69*F69)</f>
        <v>0</v>
      </c>
      <c r="H69" s="44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0">IF(OR(B69="",E69=0),0,S69/E69)</f>
        <v>0</v>
      </c>
      <c r="U69" s="51">
        <f t="shared" ref="U69:U100" si="21">IF(B69="",0,G69-S69)</f>
        <v>0</v>
      </c>
      <c r="V69" s="51">
        <f t="shared" ref="V69:V100" si="22">IF(OR(B69="",E69=0),0,U69/E69)</f>
        <v>0</v>
      </c>
      <c r="W69" s="52">
        <f t="shared" ref="W69:W100" si="23">IF(OR(B69="",G69=0),0,U69/G69)</f>
        <v>0</v>
      </c>
      <c r="X69" s="48"/>
      <c r="Y69" s="58">
        <f t="shared" si="7"/>
        <v>0</v>
      </c>
      <c r="Z69" s="49" t="str">
        <f t="shared" si="16"/>
        <v/>
      </c>
      <c r="AA69" s="64"/>
    </row>
    <row r="70" spans="1:27">
      <c r="A70" s="62" t="str">
        <f t="shared" si="17"/>
        <v/>
      </c>
      <c r="B70" s="44"/>
      <c r="C70" s="46"/>
      <c r="D70" s="46"/>
      <c r="E70" s="50">
        <f t="shared" si="18"/>
        <v>0</v>
      </c>
      <c r="F70" s="48"/>
      <c r="G70" s="51">
        <f t="shared" si="19"/>
        <v>0</v>
      </c>
      <c r="H70" s="44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0"/>
        <v>0</v>
      </c>
      <c r="U70" s="51">
        <f t="shared" si="21"/>
        <v>0</v>
      </c>
      <c r="V70" s="51">
        <f t="shared" si="22"/>
        <v>0</v>
      </c>
      <c r="W70" s="52">
        <f t="shared" si="23"/>
        <v>0</v>
      </c>
      <c r="X70" s="48"/>
      <c r="Y70" s="58">
        <f t="shared" ref="Y70:Y133" si="24">IF(B70="",0,IFERROR(MAX(0,G70-X70),G70))</f>
        <v>0</v>
      </c>
      <c r="Z70" s="49" t="str">
        <f t="shared" ref="Z70:Z101" si="25">IF(B70="","",IF(COUNTIFS($C$6:$C$204,"&lt;"&amp;D70,$D$6:$D$204,"&gt;"&amp;C70,$I$6:$I$204,"&lt;&gt;Cancelada",$I$6:$I$204,"&lt;&gt;Consulta")&gt;1,"CONFLITO","OK"))</f>
        <v/>
      </c>
      <c r="AA70" s="64"/>
    </row>
    <row r="71" spans="1:27">
      <c r="A71" s="62" t="str">
        <f t="shared" si="17"/>
        <v/>
      </c>
      <c r="B71" s="44"/>
      <c r="C71" s="46"/>
      <c r="D71" s="46"/>
      <c r="E71" s="50">
        <f t="shared" si="18"/>
        <v>0</v>
      </c>
      <c r="F71" s="48"/>
      <c r="G71" s="51">
        <f t="shared" si="19"/>
        <v>0</v>
      </c>
      <c r="H71" s="44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0"/>
        <v>0</v>
      </c>
      <c r="U71" s="51">
        <f t="shared" si="21"/>
        <v>0</v>
      </c>
      <c r="V71" s="51">
        <f t="shared" si="22"/>
        <v>0</v>
      </c>
      <c r="W71" s="52">
        <f t="shared" si="23"/>
        <v>0</v>
      </c>
      <c r="X71" s="48"/>
      <c r="Y71" s="58">
        <f t="shared" si="24"/>
        <v>0</v>
      </c>
      <c r="Z71" s="49" t="str">
        <f t="shared" si="25"/>
        <v/>
      </c>
      <c r="AA71" s="64"/>
    </row>
    <row r="72" spans="1:27">
      <c r="A72" s="62" t="str">
        <f t="shared" si="17"/>
        <v/>
      </c>
      <c r="B72" s="44"/>
      <c r="C72" s="46"/>
      <c r="D72" s="46"/>
      <c r="E72" s="50">
        <f t="shared" si="18"/>
        <v>0</v>
      </c>
      <c r="F72" s="48"/>
      <c r="G72" s="51">
        <f t="shared" si="19"/>
        <v>0</v>
      </c>
      <c r="H72" s="44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0"/>
        <v>0</v>
      </c>
      <c r="U72" s="51">
        <f t="shared" si="21"/>
        <v>0</v>
      </c>
      <c r="V72" s="51">
        <f t="shared" si="22"/>
        <v>0</v>
      </c>
      <c r="W72" s="52">
        <f t="shared" si="23"/>
        <v>0</v>
      </c>
      <c r="X72" s="48"/>
      <c r="Y72" s="58">
        <f t="shared" si="24"/>
        <v>0</v>
      </c>
      <c r="Z72" s="49" t="str">
        <f t="shared" si="25"/>
        <v/>
      </c>
      <c r="AA72" s="64"/>
    </row>
    <row r="73" spans="1:27">
      <c r="A73" s="62" t="str">
        <f t="shared" si="17"/>
        <v/>
      </c>
      <c r="B73" s="44"/>
      <c r="C73" s="46"/>
      <c r="D73" s="46"/>
      <c r="E73" s="50">
        <f t="shared" si="18"/>
        <v>0</v>
      </c>
      <c r="F73" s="48"/>
      <c r="G73" s="51">
        <f t="shared" si="19"/>
        <v>0</v>
      </c>
      <c r="H73" s="44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0"/>
        <v>0</v>
      </c>
      <c r="U73" s="51">
        <f t="shared" si="21"/>
        <v>0</v>
      </c>
      <c r="V73" s="51">
        <f t="shared" si="22"/>
        <v>0</v>
      </c>
      <c r="W73" s="52">
        <f t="shared" si="23"/>
        <v>0</v>
      </c>
      <c r="X73" s="48"/>
      <c r="Y73" s="58">
        <f t="shared" si="24"/>
        <v>0</v>
      </c>
      <c r="Z73" s="49" t="str">
        <f t="shared" si="25"/>
        <v/>
      </c>
      <c r="AA73" s="64"/>
    </row>
    <row r="74" spans="1:27">
      <c r="A74" s="62" t="str">
        <f t="shared" si="17"/>
        <v/>
      </c>
      <c r="B74" s="44"/>
      <c r="C74" s="46"/>
      <c r="D74" s="46"/>
      <c r="E74" s="50">
        <f t="shared" si="18"/>
        <v>0</v>
      </c>
      <c r="F74" s="48"/>
      <c r="G74" s="51">
        <f t="shared" si="19"/>
        <v>0</v>
      </c>
      <c r="H74" s="44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0"/>
        <v>0</v>
      </c>
      <c r="U74" s="51">
        <f t="shared" si="21"/>
        <v>0</v>
      </c>
      <c r="V74" s="51">
        <f t="shared" si="22"/>
        <v>0</v>
      </c>
      <c r="W74" s="52">
        <f t="shared" si="23"/>
        <v>0</v>
      </c>
      <c r="X74" s="48"/>
      <c r="Y74" s="58">
        <f t="shared" si="24"/>
        <v>0</v>
      </c>
      <c r="Z74" s="49" t="str">
        <f t="shared" si="25"/>
        <v/>
      </c>
      <c r="AA74" s="64"/>
    </row>
    <row r="75" spans="1:27">
      <c r="A75" s="62" t="str">
        <f t="shared" si="17"/>
        <v/>
      </c>
      <c r="B75" s="44"/>
      <c r="C75" s="46"/>
      <c r="D75" s="46"/>
      <c r="E75" s="50">
        <f t="shared" si="18"/>
        <v>0</v>
      </c>
      <c r="F75" s="48"/>
      <c r="G75" s="51">
        <f t="shared" si="19"/>
        <v>0</v>
      </c>
      <c r="H75" s="44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0"/>
        <v>0</v>
      </c>
      <c r="U75" s="51">
        <f t="shared" si="21"/>
        <v>0</v>
      </c>
      <c r="V75" s="51">
        <f t="shared" si="22"/>
        <v>0</v>
      </c>
      <c r="W75" s="52">
        <f t="shared" si="23"/>
        <v>0</v>
      </c>
      <c r="X75" s="48"/>
      <c r="Y75" s="58">
        <f t="shared" si="24"/>
        <v>0</v>
      </c>
      <c r="Z75" s="49" t="str">
        <f t="shared" si="25"/>
        <v/>
      </c>
      <c r="AA75" s="64"/>
    </row>
    <row r="76" spans="1:27">
      <c r="A76" s="62" t="str">
        <f t="shared" si="17"/>
        <v/>
      </c>
      <c r="B76" s="44"/>
      <c r="C76" s="46"/>
      <c r="D76" s="46"/>
      <c r="E76" s="50">
        <f t="shared" si="18"/>
        <v>0</v>
      </c>
      <c r="F76" s="48"/>
      <c r="G76" s="51">
        <f t="shared" si="19"/>
        <v>0</v>
      </c>
      <c r="H76" s="44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0"/>
        <v>0</v>
      </c>
      <c r="U76" s="51">
        <f t="shared" si="21"/>
        <v>0</v>
      </c>
      <c r="V76" s="51">
        <f t="shared" si="22"/>
        <v>0</v>
      </c>
      <c r="W76" s="52">
        <f t="shared" si="23"/>
        <v>0</v>
      </c>
      <c r="X76" s="48"/>
      <c r="Y76" s="58">
        <f t="shared" si="24"/>
        <v>0</v>
      </c>
      <c r="Z76" s="49" t="str">
        <f t="shared" si="25"/>
        <v/>
      </c>
      <c r="AA76" s="64"/>
    </row>
    <row r="77" spans="1:27">
      <c r="A77" s="62" t="str">
        <f t="shared" si="17"/>
        <v/>
      </c>
      <c r="B77" s="44"/>
      <c r="C77" s="46"/>
      <c r="D77" s="46"/>
      <c r="E77" s="50">
        <f t="shared" si="18"/>
        <v>0</v>
      </c>
      <c r="F77" s="48"/>
      <c r="G77" s="51">
        <f t="shared" si="19"/>
        <v>0</v>
      </c>
      <c r="H77" s="44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0"/>
        <v>0</v>
      </c>
      <c r="U77" s="51">
        <f t="shared" si="21"/>
        <v>0</v>
      </c>
      <c r="V77" s="51">
        <f t="shared" si="22"/>
        <v>0</v>
      </c>
      <c r="W77" s="52">
        <f t="shared" si="23"/>
        <v>0</v>
      </c>
      <c r="X77" s="48"/>
      <c r="Y77" s="58">
        <f t="shared" si="24"/>
        <v>0</v>
      </c>
      <c r="Z77" s="49" t="str">
        <f t="shared" si="25"/>
        <v/>
      </c>
      <c r="AA77" s="64"/>
    </row>
    <row r="78" spans="1:27">
      <c r="A78" s="62" t="str">
        <f t="shared" si="17"/>
        <v/>
      </c>
      <c r="B78" s="44"/>
      <c r="C78" s="46"/>
      <c r="D78" s="46"/>
      <c r="E78" s="50">
        <f t="shared" si="18"/>
        <v>0</v>
      </c>
      <c r="F78" s="48"/>
      <c r="G78" s="51">
        <f t="shared" si="19"/>
        <v>0</v>
      </c>
      <c r="H78" s="44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0"/>
        <v>0</v>
      </c>
      <c r="U78" s="51">
        <f t="shared" si="21"/>
        <v>0</v>
      </c>
      <c r="V78" s="51">
        <f t="shared" si="22"/>
        <v>0</v>
      </c>
      <c r="W78" s="52">
        <f t="shared" si="23"/>
        <v>0</v>
      </c>
      <c r="X78" s="48"/>
      <c r="Y78" s="58">
        <f t="shared" si="24"/>
        <v>0</v>
      </c>
      <c r="Z78" s="49" t="str">
        <f t="shared" si="25"/>
        <v/>
      </c>
      <c r="AA78" s="64"/>
    </row>
    <row r="79" spans="1:27">
      <c r="A79" s="62" t="str">
        <f t="shared" si="17"/>
        <v/>
      </c>
      <c r="B79" s="44"/>
      <c r="C79" s="46"/>
      <c r="D79" s="46"/>
      <c r="E79" s="50">
        <f t="shared" si="18"/>
        <v>0</v>
      </c>
      <c r="F79" s="48"/>
      <c r="G79" s="51">
        <f t="shared" si="19"/>
        <v>0</v>
      </c>
      <c r="H79" s="44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0"/>
        <v>0</v>
      </c>
      <c r="U79" s="51">
        <f t="shared" si="21"/>
        <v>0</v>
      </c>
      <c r="V79" s="51">
        <f t="shared" si="22"/>
        <v>0</v>
      </c>
      <c r="W79" s="52">
        <f t="shared" si="23"/>
        <v>0</v>
      </c>
      <c r="X79" s="48"/>
      <c r="Y79" s="58">
        <f t="shared" si="24"/>
        <v>0</v>
      </c>
      <c r="Z79" s="49" t="str">
        <f t="shared" si="25"/>
        <v/>
      </c>
      <c r="AA79" s="64"/>
    </row>
    <row r="80" spans="1:27">
      <c r="A80" s="62" t="str">
        <f t="shared" si="17"/>
        <v/>
      </c>
      <c r="B80" s="44"/>
      <c r="C80" s="46"/>
      <c r="D80" s="46"/>
      <c r="E80" s="50">
        <f t="shared" si="18"/>
        <v>0</v>
      </c>
      <c r="F80" s="48"/>
      <c r="G80" s="51">
        <f t="shared" si="19"/>
        <v>0</v>
      </c>
      <c r="H80" s="44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0"/>
        <v>0</v>
      </c>
      <c r="U80" s="51">
        <f t="shared" si="21"/>
        <v>0</v>
      </c>
      <c r="V80" s="51">
        <f t="shared" si="22"/>
        <v>0</v>
      </c>
      <c r="W80" s="52">
        <f t="shared" si="23"/>
        <v>0</v>
      </c>
      <c r="X80" s="48"/>
      <c r="Y80" s="58">
        <f t="shared" si="24"/>
        <v>0</v>
      </c>
      <c r="Z80" s="49" t="str">
        <f t="shared" si="25"/>
        <v/>
      </c>
      <c r="AA80" s="64"/>
    </row>
    <row r="81" spans="1:27">
      <c r="A81" s="62" t="str">
        <f t="shared" si="17"/>
        <v/>
      </c>
      <c r="B81" s="44"/>
      <c r="C81" s="46"/>
      <c r="D81" s="46"/>
      <c r="E81" s="50">
        <f t="shared" si="18"/>
        <v>0</v>
      </c>
      <c r="F81" s="48"/>
      <c r="G81" s="51">
        <f t="shared" si="19"/>
        <v>0</v>
      </c>
      <c r="H81" s="44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0"/>
        <v>0</v>
      </c>
      <c r="U81" s="51">
        <f t="shared" si="21"/>
        <v>0</v>
      </c>
      <c r="V81" s="51">
        <f t="shared" si="22"/>
        <v>0</v>
      </c>
      <c r="W81" s="52">
        <f t="shared" si="23"/>
        <v>0</v>
      </c>
      <c r="X81" s="48"/>
      <c r="Y81" s="58">
        <f t="shared" si="24"/>
        <v>0</v>
      </c>
      <c r="Z81" s="49" t="str">
        <f t="shared" si="25"/>
        <v/>
      </c>
      <c r="AA81" s="64"/>
    </row>
    <row r="82" spans="1:27">
      <c r="A82" s="62" t="str">
        <f t="shared" si="17"/>
        <v/>
      </c>
      <c r="B82" s="44"/>
      <c r="C82" s="46"/>
      <c r="D82" s="46"/>
      <c r="E82" s="50">
        <f t="shared" si="18"/>
        <v>0</v>
      </c>
      <c r="F82" s="48"/>
      <c r="G82" s="51">
        <f t="shared" si="19"/>
        <v>0</v>
      </c>
      <c r="H82" s="44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0"/>
        <v>0</v>
      </c>
      <c r="U82" s="51">
        <f t="shared" si="21"/>
        <v>0</v>
      </c>
      <c r="V82" s="51">
        <f t="shared" si="22"/>
        <v>0</v>
      </c>
      <c r="W82" s="52">
        <f t="shared" si="23"/>
        <v>0</v>
      </c>
      <c r="X82" s="48"/>
      <c r="Y82" s="58">
        <f t="shared" si="24"/>
        <v>0</v>
      </c>
      <c r="Z82" s="49" t="str">
        <f t="shared" si="25"/>
        <v/>
      </c>
      <c r="AA82" s="64"/>
    </row>
    <row r="83" spans="1:27">
      <c r="A83" s="62" t="str">
        <f t="shared" si="17"/>
        <v/>
      </c>
      <c r="B83" s="44"/>
      <c r="C83" s="46"/>
      <c r="D83" s="46"/>
      <c r="E83" s="50">
        <f t="shared" si="18"/>
        <v>0</v>
      </c>
      <c r="F83" s="48"/>
      <c r="G83" s="51">
        <f t="shared" si="19"/>
        <v>0</v>
      </c>
      <c r="H83" s="44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0"/>
        <v>0</v>
      </c>
      <c r="U83" s="51">
        <f t="shared" si="21"/>
        <v>0</v>
      </c>
      <c r="V83" s="51">
        <f t="shared" si="22"/>
        <v>0</v>
      </c>
      <c r="W83" s="52">
        <f t="shared" si="23"/>
        <v>0</v>
      </c>
      <c r="X83" s="48"/>
      <c r="Y83" s="58">
        <f t="shared" si="24"/>
        <v>0</v>
      </c>
      <c r="Z83" s="49" t="str">
        <f t="shared" si="25"/>
        <v/>
      </c>
      <c r="AA83" s="64"/>
    </row>
    <row r="84" spans="1:27">
      <c r="A84" s="62" t="str">
        <f t="shared" si="17"/>
        <v/>
      </c>
      <c r="B84" s="44"/>
      <c r="C84" s="46"/>
      <c r="D84" s="46"/>
      <c r="E84" s="50">
        <f t="shared" si="18"/>
        <v>0</v>
      </c>
      <c r="F84" s="48"/>
      <c r="G84" s="51">
        <f t="shared" si="19"/>
        <v>0</v>
      </c>
      <c r="H84" s="44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0"/>
        <v>0</v>
      </c>
      <c r="U84" s="51">
        <f t="shared" si="21"/>
        <v>0</v>
      </c>
      <c r="V84" s="51">
        <f t="shared" si="22"/>
        <v>0</v>
      </c>
      <c r="W84" s="52">
        <f t="shared" si="23"/>
        <v>0</v>
      </c>
      <c r="X84" s="48"/>
      <c r="Y84" s="58">
        <f t="shared" si="24"/>
        <v>0</v>
      </c>
      <c r="Z84" s="49" t="str">
        <f t="shared" si="25"/>
        <v/>
      </c>
      <c r="AA84" s="64"/>
    </row>
    <row r="85" spans="1:27">
      <c r="A85" s="62" t="str">
        <f t="shared" si="17"/>
        <v/>
      </c>
      <c r="B85" s="44"/>
      <c r="C85" s="46"/>
      <c r="D85" s="46"/>
      <c r="E85" s="50">
        <f t="shared" si="18"/>
        <v>0</v>
      </c>
      <c r="F85" s="48"/>
      <c r="G85" s="51">
        <f t="shared" si="19"/>
        <v>0</v>
      </c>
      <c r="H85" s="44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0"/>
        <v>0</v>
      </c>
      <c r="U85" s="51">
        <f t="shared" si="21"/>
        <v>0</v>
      </c>
      <c r="V85" s="51">
        <f t="shared" si="22"/>
        <v>0</v>
      </c>
      <c r="W85" s="52">
        <f t="shared" si="23"/>
        <v>0</v>
      </c>
      <c r="X85" s="48"/>
      <c r="Y85" s="58">
        <f t="shared" si="24"/>
        <v>0</v>
      </c>
      <c r="Z85" s="49" t="str">
        <f t="shared" si="25"/>
        <v/>
      </c>
      <c r="AA85" s="64"/>
    </row>
    <row r="86" spans="1:27">
      <c r="A86" s="62" t="str">
        <f t="shared" si="17"/>
        <v/>
      </c>
      <c r="B86" s="44"/>
      <c r="C86" s="46"/>
      <c r="D86" s="46"/>
      <c r="E86" s="50">
        <f t="shared" si="18"/>
        <v>0</v>
      </c>
      <c r="F86" s="48"/>
      <c r="G86" s="51">
        <f t="shared" si="19"/>
        <v>0</v>
      </c>
      <c r="H86" s="44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0"/>
        <v>0</v>
      </c>
      <c r="U86" s="51">
        <f t="shared" si="21"/>
        <v>0</v>
      </c>
      <c r="V86" s="51">
        <f t="shared" si="22"/>
        <v>0</v>
      </c>
      <c r="W86" s="52">
        <f t="shared" si="23"/>
        <v>0</v>
      </c>
      <c r="X86" s="48"/>
      <c r="Y86" s="58">
        <f t="shared" si="24"/>
        <v>0</v>
      </c>
      <c r="Z86" s="49" t="str">
        <f t="shared" si="25"/>
        <v/>
      </c>
      <c r="AA86" s="64"/>
    </row>
    <row r="87" spans="1:27">
      <c r="A87" s="62" t="str">
        <f t="shared" si="17"/>
        <v/>
      </c>
      <c r="B87" s="44"/>
      <c r="C87" s="46"/>
      <c r="D87" s="46"/>
      <c r="E87" s="50">
        <f t="shared" si="18"/>
        <v>0</v>
      </c>
      <c r="F87" s="48"/>
      <c r="G87" s="51">
        <f t="shared" si="19"/>
        <v>0</v>
      </c>
      <c r="H87" s="44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0"/>
        <v>0</v>
      </c>
      <c r="U87" s="51">
        <f t="shared" si="21"/>
        <v>0</v>
      </c>
      <c r="V87" s="51">
        <f t="shared" si="22"/>
        <v>0</v>
      </c>
      <c r="W87" s="52">
        <f t="shared" si="23"/>
        <v>0</v>
      </c>
      <c r="X87" s="48"/>
      <c r="Y87" s="58">
        <f t="shared" si="24"/>
        <v>0</v>
      </c>
      <c r="Z87" s="49" t="str">
        <f t="shared" si="25"/>
        <v/>
      </c>
      <c r="AA87" s="64"/>
    </row>
    <row r="88" spans="1:27">
      <c r="A88" s="62" t="str">
        <f t="shared" si="17"/>
        <v/>
      </c>
      <c r="B88" s="44"/>
      <c r="C88" s="46"/>
      <c r="D88" s="46"/>
      <c r="E88" s="50">
        <f t="shared" si="18"/>
        <v>0</v>
      </c>
      <c r="F88" s="48"/>
      <c r="G88" s="51">
        <f t="shared" si="19"/>
        <v>0</v>
      </c>
      <c r="H88" s="44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0"/>
        <v>0</v>
      </c>
      <c r="U88" s="51">
        <f t="shared" si="21"/>
        <v>0</v>
      </c>
      <c r="V88" s="51">
        <f t="shared" si="22"/>
        <v>0</v>
      </c>
      <c r="W88" s="52">
        <f t="shared" si="23"/>
        <v>0</v>
      </c>
      <c r="X88" s="48"/>
      <c r="Y88" s="58">
        <f t="shared" si="24"/>
        <v>0</v>
      </c>
      <c r="Z88" s="49" t="str">
        <f t="shared" si="25"/>
        <v/>
      </c>
      <c r="AA88" s="64"/>
    </row>
    <row r="89" spans="1:27">
      <c r="A89" s="62" t="str">
        <f t="shared" si="17"/>
        <v/>
      </c>
      <c r="B89" s="44"/>
      <c r="C89" s="46"/>
      <c r="D89" s="46"/>
      <c r="E89" s="50">
        <f t="shared" si="18"/>
        <v>0</v>
      </c>
      <c r="F89" s="48"/>
      <c r="G89" s="51">
        <f t="shared" si="19"/>
        <v>0</v>
      </c>
      <c r="H89" s="44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0"/>
        <v>0</v>
      </c>
      <c r="U89" s="51">
        <f t="shared" si="21"/>
        <v>0</v>
      </c>
      <c r="V89" s="51">
        <f t="shared" si="22"/>
        <v>0</v>
      </c>
      <c r="W89" s="52">
        <f t="shared" si="23"/>
        <v>0</v>
      </c>
      <c r="X89" s="48"/>
      <c r="Y89" s="58">
        <f t="shared" si="24"/>
        <v>0</v>
      </c>
      <c r="Z89" s="49" t="str">
        <f t="shared" si="25"/>
        <v/>
      </c>
      <c r="AA89" s="64"/>
    </row>
    <row r="90" spans="1:27">
      <c r="A90" s="62" t="str">
        <f t="shared" si="17"/>
        <v/>
      </c>
      <c r="B90" s="44"/>
      <c r="C90" s="46"/>
      <c r="D90" s="46"/>
      <c r="E90" s="50">
        <f t="shared" si="18"/>
        <v>0</v>
      </c>
      <c r="F90" s="48"/>
      <c r="G90" s="51">
        <f t="shared" si="19"/>
        <v>0</v>
      </c>
      <c r="H90" s="44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0"/>
        <v>0</v>
      </c>
      <c r="U90" s="51">
        <f t="shared" si="21"/>
        <v>0</v>
      </c>
      <c r="V90" s="51">
        <f t="shared" si="22"/>
        <v>0</v>
      </c>
      <c r="W90" s="52">
        <f t="shared" si="23"/>
        <v>0</v>
      </c>
      <c r="X90" s="48"/>
      <c r="Y90" s="58">
        <f t="shared" si="24"/>
        <v>0</v>
      </c>
      <c r="Z90" s="49" t="str">
        <f t="shared" si="25"/>
        <v/>
      </c>
      <c r="AA90" s="64"/>
    </row>
    <row r="91" spans="1:27">
      <c r="A91" s="62" t="str">
        <f t="shared" si="17"/>
        <v/>
      </c>
      <c r="B91" s="44"/>
      <c r="C91" s="46"/>
      <c r="D91" s="46"/>
      <c r="E91" s="50">
        <f t="shared" si="18"/>
        <v>0</v>
      </c>
      <c r="F91" s="48"/>
      <c r="G91" s="51">
        <f t="shared" si="19"/>
        <v>0</v>
      </c>
      <c r="H91" s="44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0"/>
        <v>0</v>
      </c>
      <c r="U91" s="51">
        <f t="shared" si="21"/>
        <v>0</v>
      </c>
      <c r="V91" s="51">
        <f t="shared" si="22"/>
        <v>0</v>
      </c>
      <c r="W91" s="52">
        <f t="shared" si="23"/>
        <v>0</v>
      </c>
      <c r="X91" s="48"/>
      <c r="Y91" s="58">
        <f t="shared" si="24"/>
        <v>0</v>
      </c>
      <c r="Z91" s="49" t="str">
        <f t="shared" si="25"/>
        <v/>
      </c>
      <c r="AA91" s="64"/>
    </row>
    <row r="92" spans="1:27">
      <c r="A92" s="62" t="str">
        <f t="shared" si="17"/>
        <v/>
      </c>
      <c r="B92" s="44"/>
      <c r="C92" s="46"/>
      <c r="D92" s="46"/>
      <c r="E92" s="50">
        <f t="shared" si="18"/>
        <v>0</v>
      </c>
      <c r="F92" s="48"/>
      <c r="G92" s="51">
        <f t="shared" si="19"/>
        <v>0</v>
      </c>
      <c r="H92" s="44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0"/>
        <v>0</v>
      </c>
      <c r="U92" s="51">
        <f t="shared" si="21"/>
        <v>0</v>
      </c>
      <c r="V92" s="51">
        <f t="shared" si="22"/>
        <v>0</v>
      </c>
      <c r="W92" s="52">
        <f t="shared" si="23"/>
        <v>0</v>
      </c>
      <c r="X92" s="48"/>
      <c r="Y92" s="58">
        <f t="shared" si="24"/>
        <v>0</v>
      </c>
      <c r="Z92" s="49" t="str">
        <f t="shared" si="25"/>
        <v/>
      </c>
      <c r="AA92" s="64"/>
    </row>
    <row r="93" spans="1:27">
      <c r="A93" s="62" t="str">
        <f t="shared" si="17"/>
        <v/>
      </c>
      <c r="B93" s="44"/>
      <c r="C93" s="46"/>
      <c r="D93" s="46"/>
      <c r="E93" s="50">
        <f t="shared" si="18"/>
        <v>0</v>
      </c>
      <c r="F93" s="48"/>
      <c r="G93" s="51">
        <f t="shared" si="19"/>
        <v>0</v>
      </c>
      <c r="H93" s="44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0"/>
        <v>0</v>
      </c>
      <c r="U93" s="51">
        <f t="shared" si="21"/>
        <v>0</v>
      </c>
      <c r="V93" s="51">
        <f t="shared" si="22"/>
        <v>0</v>
      </c>
      <c r="W93" s="52">
        <f t="shared" si="23"/>
        <v>0</v>
      </c>
      <c r="X93" s="48"/>
      <c r="Y93" s="58">
        <f t="shared" si="24"/>
        <v>0</v>
      </c>
      <c r="Z93" s="49" t="str">
        <f t="shared" si="25"/>
        <v/>
      </c>
      <c r="AA93" s="64"/>
    </row>
    <row r="94" spans="1:27">
      <c r="A94" s="62" t="str">
        <f t="shared" si="17"/>
        <v/>
      </c>
      <c r="B94" s="44"/>
      <c r="C94" s="46"/>
      <c r="D94" s="46"/>
      <c r="E94" s="50">
        <f t="shared" si="18"/>
        <v>0</v>
      </c>
      <c r="F94" s="48"/>
      <c r="G94" s="51">
        <f t="shared" si="19"/>
        <v>0</v>
      </c>
      <c r="H94" s="44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0"/>
        <v>0</v>
      </c>
      <c r="U94" s="51">
        <f t="shared" si="21"/>
        <v>0</v>
      </c>
      <c r="V94" s="51">
        <f t="shared" si="22"/>
        <v>0</v>
      </c>
      <c r="W94" s="52">
        <f t="shared" si="23"/>
        <v>0</v>
      </c>
      <c r="X94" s="48"/>
      <c r="Y94" s="58">
        <f t="shared" si="24"/>
        <v>0</v>
      </c>
      <c r="Z94" s="49" t="str">
        <f t="shared" si="25"/>
        <v/>
      </c>
      <c r="AA94" s="64"/>
    </row>
    <row r="95" spans="1:27">
      <c r="A95" s="62" t="str">
        <f t="shared" si="17"/>
        <v/>
      </c>
      <c r="B95" s="44"/>
      <c r="C95" s="46"/>
      <c r="D95" s="46"/>
      <c r="E95" s="50">
        <f t="shared" si="18"/>
        <v>0</v>
      </c>
      <c r="F95" s="48"/>
      <c r="G95" s="51">
        <f t="shared" si="19"/>
        <v>0</v>
      </c>
      <c r="H95" s="44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0"/>
        <v>0</v>
      </c>
      <c r="U95" s="51">
        <f t="shared" si="21"/>
        <v>0</v>
      </c>
      <c r="V95" s="51">
        <f t="shared" si="22"/>
        <v>0</v>
      </c>
      <c r="W95" s="52">
        <f t="shared" si="23"/>
        <v>0</v>
      </c>
      <c r="X95" s="48"/>
      <c r="Y95" s="58">
        <f t="shared" si="24"/>
        <v>0</v>
      </c>
      <c r="Z95" s="49" t="str">
        <f t="shared" si="25"/>
        <v/>
      </c>
      <c r="AA95" s="64"/>
    </row>
    <row r="96" spans="1:27">
      <c r="A96" s="62" t="str">
        <f t="shared" si="17"/>
        <v/>
      </c>
      <c r="B96" s="44"/>
      <c r="C96" s="46"/>
      <c r="D96" s="46"/>
      <c r="E96" s="50">
        <f t="shared" si="18"/>
        <v>0</v>
      </c>
      <c r="F96" s="48"/>
      <c r="G96" s="51">
        <f t="shared" si="19"/>
        <v>0</v>
      </c>
      <c r="H96" s="44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0"/>
        <v>0</v>
      </c>
      <c r="U96" s="51">
        <f t="shared" si="21"/>
        <v>0</v>
      </c>
      <c r="V96" s="51">
        <f t="shared" si="22"/>
        <v>0</v>
      </c>
      <c r="W96" s="52">
        <f t="shared" si="23"/>
        <v>0</v>
      </c>
      <c r="X96" s="48"/>
      <c r="Y96" s="58">
        <f t="shared" si="24"/>
        <v>0</v>
      </c>
      <c r="Z96" s="49" t="str">
        <f t="shared" si="25"/>
        <v/>
      </c>
      <c r="AA96" s="64"/>
    </row>
    <row r="97" spans="1:27">
      <c r="A97" s="62" t="str">
        <f t="shared" si="17"/>
        <v/>
      </c>
      <c r="B97" s="44"/>
      <c r="C97" s="46"/>
      <c r="D97" s="46"/>
      <c r="E97" s="50">
        <f t="shared" si="18"/>
        <v>0</v>
      </c>
      <c r="F97" s="48"/>
      <c r="G97" s="51">
        <f t="shared" si="19"/>
        <v>0</v>
      </c>
      <c r="H97" s="44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0"/>
        <v>0</v>
      </c>
      <c r="U97" s="51">
        <f t="shared" si="21"/>
        <v>0</v>
      </c>
      <c r="V97" s="51">
        <f t="shared" si="22"/>
        <v>0</v>
      </c>
      <c r="W97" s="52">
        <f t="shared" si="23"/>
        <v>0</v>
      </c>
      <c r="X97" s="48"/>
      <c r="Y97" s="58">
        <f t="shared" si="24"/>
        <v>0</v>
      </c>
      <c r="Z97" s="49" t="str">
        <f t="shared" si="25"/>
        <v/>
      </c>
      <c r="AA97" s="64"/>
    </row>
    <row r="98" spans="1:27">
      <c r="A98" s="62" t="str">
        <f t="shared" si="17"/>
        <v/>
      </c>
      <c r="B98" s="44"/>
      <c r="C98" s="46"/>
      <c r="D98" s="46"/>
      <c r="E98" s="50">
        <f t="shared" si="18"/>
        <v>0</v>
      </c>
      <c r="F98" s="48"/>
      <c r="G98" s="51">
        <f t="shared" si="19"/>
        <v>0</v>
      </c>
      <c r="H98" s="44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0"/>
        <v>0</v>
      </c>
      <c r="U98" s="51">
        <f t="shared" si="21"/>
        <v>0</v>
      </c>
      <c r="V98" s="51">
        <f t="shared" si="22"/>
        <v>0</v>
      </c>
      <c r="W98" s="52">
        <f t="shared" si="23"/>
        <v>0</v>
      </c>
      <c r="X98" s="48"/>
      <c r="Y98" s="58">
        <f t="shared" si="24"/>
        <v>0</v>
      </c>
      <c r="Z98" s="49" t="str">
        <f t="shared" si="25"/>
        <v/>
      </c>
      <c r="AA98" s="64"/>
    </row>
    <row r="99" spans="1:27">
      <c r="A99" s="62" t="str">
        <f t="shared" si="17"/>
        <v/>
      </c>
      <c r="B99" s="44"/>
      <c r="C99" s="46"/>
      <c r="D99" s="46"/>
      <c r="E99" s="50">
        <f t="shared" si="18"/>
        <v>0</v>
      </c>
      <c r="F99" s="48"/>
      <c r="G99" s="51">
        <f t="shared" si="19"/>
        <v>0</v>
      </c>
      <c r="H99" s="44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0"/>
        <v>0</v>
      </c>
      <c r="U99" s="51">
        <f t="shared" si="21"/>
        <v>0</v>
      </c>
      <c r="V99" s="51">
        <f t="shared" si="22"/>
        <v>0</v>
      </c>
      <c r="W99" s="52">
        <f t="shared" si="23"/>
        <v>0</v>
      </c>
      <c r="X99" s="48"/>
      <c r="Y99" s="58">
        <f t="shared" si="24"/>
        <v>0</v>
      </c>
      <c r="Z99" s="49" t="str">
        <f t="shared" si="25"/>
        <v/>
      </c>
      <c r="AA99" s="64"/>
    </row>
    <row r="100" spans="1:27">
      <c r="A100" s="62" t="str">
        <f t="shared" si="17"/>
        <v/>
      </c>
      <c r="B100" s="44"/>
      <c r="C100" s="46"/>
      <c r="D100" s="46"/>
      <c r="E100" s="50">
        <f t="shared" si="18"/>
        <v>0</v>
      </c>
      <c r="F100" s="48"/>
      <c r="G100" s="51">
        <f t="shared" si="19"/>
        <v>0</v>
      </c>
      <c r="H100" s="44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0"/>
        <v>0</v>
      </c>
      <c r="U100" s="51">
        <f t="shared" si="21"/>
        <v>0</v>
      </c>
      <c r="V100" s="51">
        <f t="shared" si="22"/>
        <v>0</v>
      </c>
      <c r="W100" s="52">
        <f t="shared" si="23"/>
        <v>0</v>
      </c>
      <c r="X100" s="48"/>
      <c r="Y100" s="58">
        <f t="shared" si="24"/>
        <v>0</v>
      </c>
      <c r="Z100" s="49" t="str">
        <f t="shared" si="25"/>
        <v/>
      </c>
      <c r="AA100" s="64"/>
    </row>
    <row r="101" spans="1:27">
      <c r="A101" s="62" t="str">
        <f t="shared" ref="A101:A132" si="26">IF(B101="","","LOC-"&amp;TEXT(ROW()-5,"000"))</f>
        <v/>
      </c>
      <c r="B101" s="44"/>
      <c r="C101" s="46"/>
      <c r="D101" s="46"/>
      <c r="E101" s="50">
        <f t="shared" ref="E101:E132" si="27">IF(OR(B101="",C101="",D101=""),0,MAX(0,D101-C101))</f>
        <v>0</v>
      </c>
      <c r="F101" s="48"/>
      <c r="G101" s="51">
        <f t="shared" ref="G101:G132" si="28">IF(OR(B101="",E101=0,F101=""),0,E101*F101)</f>
        <v>0</v>
      </c>
      <c r="H101" s="44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29">IF(OR(B101="",E101=0),0,S101/E101)</f>
        <v>0</v>
      </c>
      <c r="U101" s="51">
        <f t="shared" ref="U101:U132" si="30">IF(B101="",0,G101-S101)</f>
        <v>0</v>
      </c>
      <c r="V101" s="51">
        <f t="shared" ref="V101:V132" si="31">IF(OR(B101="",E101=0),0,U101/E101)</f>
        <v>0</v>
      </c>
      <c r="W101" s="52">
        <f t="shared" ref="W101:W132" si="32">IF(OR(B101="",G101=0),0,U101/G101)</f>
        <v>0</v>
      </c>
      <c r="X101" s="48"/>
      <c r="Y101" s="58">
        <f t="shared" si="24"/>
        <v>0</v>
      </c>
      <c r="Z101" s="49" t="str">
        <f t="shared" si="25"/>
        <v/>
      </c>
      <c r="AA101" s="64"/>
    </row>
    <row r="102" spans="1:27">
      <c r="A102" s="62" t="str">
        <f t="shared" si="26"/>
        <v/>
      </c>
      <c r="B102" s="44"/>
      <c r="C102" s="46"/>
      <c r="D102" s="46"/>
      <c r="E102" s="50">
        <f t="shared" si="27"/>
        <v>0</v>
      </c>
      <c r="F102" s="48"/>
      <c r="G102" s="51">
        <f t="shared" si="28"/>
        <v>0</v>
      </c>
      <c r="H102" s="44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9"/>
        <v>0</v>
      </c>
      <c r="U102" s="51">
        <f t="shared" si="30"/>
        <v>0</v>
      </c>
      <c r="V102" s="51">
        <f t="shared" si="31"/>
        <v>0</v>
      </c>
      <c r="W102" s="52">
        <f t="shared" si="32"/>
        <v>0</v>
      </c>
      <c r="X102" s="48"/>
      <c r="Y102" s="58">
        <f t="shared" si="24"/>
        <v>0</v>
      </c>
      <c r="Z102" s="49" t="str">
        <f t="shared" ref="Z102:Z133" si="33">IF(B102="","",IF(COUNTIFS($C$6:$C$204,"&lt;"&amp;D102,$D$6:$D$204,"&gt;"&amp;C102,$I$6:$I$204,"&lt;&gt;Cancelada",$I$6:$I$204,"&lt;&gt;Consulta")&gt;1,"CONFLITO","OK"))</f>
        <v/>
      </c>
      <c r="AA102" s="64"/>
    </row>
    <row r="103" spans="1:27">
      <c r="A103" s="62" t="str">
        <f t="shared" si="26"/>
        <v/>
      </c>
      <c r="B103" s="44"/>
      <c r="C103" s="46"/>
      <c r="D103" s="46"/>
      <c r="E103" s="50">
        <f t="shared" si="27"/>
        <v>0</v>
      </c>
      <c r="F103" s="48"/>
      <c r="G103" s="51">
        <f t="shared" si="28"/>
        <v>0</v>
      </c>
      <c r="H103" s="44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9"/>
        <v>0</v>
      </c>
      <c r="U103" s="51">
        <f t="shared" si="30"/>
        <v>0</v>
      </c>
      <c r="V103" s="51">
        <f t="shared" si="31"/>
        <v>0</v>
      </c>
      <c r="W103" s="52">
        <f t="shared" si="32"/>
        <v>0</v>
      </c>
      <c r="X103" s="48"/>
      <c r="Y103" s="58">
        <f t="shared" si="24"/>
        <v>0</v>
      </c>
      <c r="Z103" s="49" t="str">
        <f t="shared" si="33"/>
        <v/>
      </c>
      <c r="AA103" s="64"/>
    </row>
    <row r="104" spans="1:27">
      <c r="A104" s="62" t="str">
        <f t="shared" si="26"/>
        <v/>
      </c>
      <c r="B104" s="44"/>
      <c r="C104" s="46"/>
      <c r="D104" s="46"/>
      <c r="E104" s="50">
        <f t="shared" si="27"/>
        <v>0</v>
      </c>
      <c r="F104" s="48"/>
      <c r="G104" s="51">
        <f t="shared" si="28"/>
        <v>0</v>
      </c>
      <c r="H104" s="44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9"/>
        <v>0</v>
      </c>
      <c r="U104" s="51">
        <f t="shared" si="30"/>
        <v>0</v>
      </c>
      <c r="V104" s="51">
        <f t="shared" si="31"/>
        <v>0</v>
      </c>
      <c r="W104" s="52">
        <f t="shared" si="32"/>
        <v>0</v>
      </c>
      <c r="X104" s="48"/>
      <c r="Y104" s="58">
        <f t="shared" si="24"/>
        <v>0</v>
      </c>
      <c r="Z104" s="49" t="str">
        <f t="shared" si="33"/>
        <v/>
      </c>
      <c r="AA104" s="64"/>
    </row>
    <row r="105" spans="1:27">
      <c r="A105" s="62" t="str">
        <f t="shared" si="26"/>
        <v/>
      </c>
      <c r="B105" s="44"/>
      <c r="C105" s="46"/>
      <c r="D105" s="46"/>
      <c r="E105" s="50">
        <f t="shared" si="27"/>
        <v>0</v>
      </c>
      <c r="F105" s="48"/>
      <c r="G105" s="51">
        <f t="shared" si="28"/>
        <v>0</v>
      </c>
      <c r="H105" s="44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9"/>
        <v>0</v>
      </c>
      <c r="U105" s="51">
        <f t="shared" si="30"/>
        <v>0</v>
      </c>
      <c r="V105" s="51">
        <f t="shared" si="31"/>
        <v>0</v>
      </c>
      <c r="W105" s="52">
        <f t="shared" si="32"/>
        <v>0</v>
      </c>
      <c r="X105" s="48"/>
      <c r="Y105" s="58">
        <f t="shared" si="24"/>
        <v>0</v>
      </c>
      <c r="Z105" s="49" t="str">
        <f t="shared" si="33"/>
        <v/>
      </c>
      <c r="AA105" s="64"/>
    </row>
    <row r="106" spans="1:27">
      <c r="A106" s="62" t="str">
        <f t="shared" si="26"/>
        <v/>
      </c>
      <c r="B106" s="44"/>
      <c r="C106" s="46"/>
      <c r="D106" s="46"/>
      <c r="E106" s="50">
        <f t="shared" si="27"/>
        <v>0</v>
      </c>
      <c r="F106" s="48"/>
      <c r="G106" s="51">
        <f t="shared" si="28"/>
        <v>0</v>
      </c>
      <c r="H106" s="44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9"/>
        <v>0</v>
      </c>
      <c r="U106" s="51">
        <f t="shared" si="30"/>
        <v>0</v>
      </c>
      <c r="V106" s="51">
        <f t="shared" si="31"/>
        <v>0</v>
      </c>
      <c r="W106" s="52">
        <f t="shared" si="32"/>
        <v>0</v>
      </c>
      <c r="X106" s="48"/>
      <c r="Y106" s="58">
        <f t="shared" si="24"/>
        <v>0</v>
      </c>
      <c r="Z106" s="49" t="str">
        <f t="shared" si="33"/>
        <v/>
      </c>
      <c r="AA106" s="64"/>
    </row>
    <row r="107" spans="1:27">
      <c r="A107" s="62" t="str">
        <f t="shared" si="26"/>
        <v/>
      </c>
      <c r="B107" s="44"/>
      <c r="C107" s="46"/>
      <c r="D107" s="46"/>
      <c r="E107" s="50">
        <f t="shared" si="27"/>
        <v>0</v>
      </c>
      <c r="F107" s="48"/>
      <c r="G107" s="51">
        <f t="shared" si="28"/>
        <v>0</v>
      </c>
      <c r="H107" s="44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9"/>
        <v>0</v>
      </c>
      <c r="U107" s="51">
        <f t="shared" si="30"/>
        <v>0</v>
      </c>
      <c r="V107" s="51">
        <f t="shared" si="31"/>
        <v>0</v>
      </c>
      <c r="W107" s="52">
        <f t="shared" si="32"/>
        <v>0</v>
      </c>
      <c r="X107" s="48"/>
      <c r="Y107" s="58">
        <f t="shared" si="24"/>
        <v>0</v>
      </c>
      <c r="Z107" s="49" t="str">
        <f t="shared" si="33"/>
        <v/>
      </c>
      <c r="AA107" s="64"/>
    </row>
    <row r="108" spans="1:27">
      <c r="A108" s="62" t="str">
        <f t="shared" si="26"/>
        <v/>
      </c>
      <c r="B108" s="44"/>
      <c r="C108" s="46"/>
      <c r="D108" s="46"/>
      <c r="E108" s="50">
        <f t="shared" si="27"/>
        <v>0</v>
      </c>
      <c r="F108" s="48"/>
      <c r="G108" s="51">
        <f t="shared" si="28"/>
        <v>0</v>
      </c>
      <c r="H108" s="44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9"/>
        <v>0</v>
      </c>
      <c r="U108" s="51">
        <f t="shared" si="30"/>
        <v>0</v>
      </c>
      <c r="V108" s="51">
        <f t="shared" si="31"/>
        <v>0</v>
      </c>
      <c r="W108" s="52">
        <f t="shared" si="32"/>
        <v>0</v>
      </c>
      <c r="X108" s="48"/>
      <c r="Y108" s="58">
        <f t="shared" si="24"/>
        <v>0</v>
      </c>
      <c r="Z108" s="49" t="str">
        <f t="shared" si="33"/>
        <v/>
      </c>
      <c r="AA108" s="64"/>
    </row>
    <row r="109" spans="1:27">
      <c r="A109" s="62" t="str">
        <f t="shared" si="26"/>
        <v/>
      </c>
      <c r="B109" s="44"/>
      <c r="C109" s="46"/>
      <c r="D109" s="46"/>
      <c r="E109" s="50">
        <f t="shared" si="27"/>
        <v>0</v>
      </c>
      <c r="F109" s="48"/>
      <c r="G109" s="51">
        <f t="shared" si="28"/>
        <v>0</v>
      </c>
      <c r="H109" s="44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9"/>
        <v>0</v>
      </c>
      <c r="U109" s="51">
        <f t="shared" si="30"/>
        <v>0</v>
      </c>
      <c r="V109" s="51">
        <f t="shared" si="31"/>
        <v>0</v>
      </c>
      <c r="W109" s="52">
        <f t="shared" si="32"/>
        <v>0</v>
      </c>
      <c r="X109" s="48"/>
      <c r="Y109" s="58">
        <f t="shared" si="24"/>
        <v>0</v>
      </c>
      <c r="Z109" s="49" t="str">
        <f t="shared" si="33"/>
        <v/>
      </c>
      <c r="AA109" s="64"/>
    </row>
    <row r="110" spans="1:27">
      <c r="A110" s="62" t="str">
        <f t="shared" si="26"/>
        <v/>
      </c>
      <c r="B110" s="44"/>
      <c r="C110" s="46"/>
      <c r="D110" s="46"/>
      <c r="E110" s="50">
        <f t="shared" si="27"/>
        <v>0</v>
      </c>
      <c r="F110" s="48"/>
      <c r="G110" s="51">
        <f t="shared" si="28"/>
        <v>0</v>
      </c>
      <c r="H110" s="44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9"/>
        <v>0</v>
      </c>
      <c r="U110" s="51">
        <f t="shared" si="30"/>
        <v>0</v>
      </c>
      <c r="V110" s="51">
        <f t="shared" si="31"/>
        <v>0</v>
      </c>
      <c r="W110" s="52">
        <f t="shared" si="32"/>
        <v>0</v>
      </c>
      <c r="X110" s="48"/>
      <c r="Y110" s="58">
        <f t="shared" si="24"/>
        <v>0</v>
      </c>
      <c r="Z110" s="49" t="str">
        <f t="shared" si="33"/>
        <v/>
      </c>
      <c r="AA110" s="64"/>
    </row>
    <row r="111" spans="1:27">
      <c r="A111" s="62" t="str">
        <f t="shared" si="26"/>
        <v/>
      </c>
      <c r="B111" s="44"/>
      <c r="C111" s="46"/>
      <c r="D111" s="46"/>
      <c r="E111" s="50">
        <f t="shared" si="27"/>
        <v>0</v>
      </c>
      <c r="F111" s="48"/>
      <c r="G111" s="51">
        <f t="shared" si="28"/>
        <v>0</v>
      </c>
      <c r="H111" s="44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9"/>
        <v>0</v>
      </c>
      <c r="U111" s="51">
        <f t="shared" si="30"/>
        <v>0</v>
      </c>
      <c r="V111" s="51">
        <f t="shared" si="31"/>
        <v>0</v>
      </c>
      <c r="W111" s="52">
        <f t="shared" si="32"/>
        <v>0</v>
      </c>
      <c r="X111" s="48"/>
      <c r="Y111" s="58">
        <f t="shared" si="24"/>
        <v>0</v>
      </c>
      <c r="Z111" s="49" t="str">
        <f t="shared" si="33"/>
        <v/>
      </c>
      <c r="AA111" s="64"/>
    </row>
    <row r="112" spans="1:27">
      <c r="A112" s="62" t="str">
        <f t="shared" si="26"/>
        <v/>
      </c>
      <c r="B112" s="44"/>
      <c r="C112" s="46"/>
      <c r="D112" s="46"/>
      <c r="E112" s="50">
        <f t="shared" si="27"/>
        <v>0</v>
      </c>
      <c r="F112" s="48"/>
      <c r="G112" s="51">
        <f t="shared" si="28"/>
        <v>0</v>
      </c>
      <c r="H112" s="44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9"/>
        <v>0</v>
      </c>
      <c r="U112" s="51">
        <f t="shared" si="30"/>
        <v>0</v>
      </c>
      <c r="V112" s="51">
        <f t="shared" si="31"/>
        <v>0</v>
      </c>
      <c r="W112" s="52">
        <f t="shared" si="32"/>
        <v>0</v>
      </c>
      <c r="X112" s="48"/>
      <c r="Y112" s="58">
        <f t="shared" si="24"/>
        <v>0</v>
      </c>
      <c r="Z112" s="49" t="str">
        <f t="shared" si="33"/>
        <v/>
      </c>
      <c r="AA112" s="64"/>
    </row>
    <row r="113" spans="1:27">
      <c r="A113" s="62" t="str">
        <f t="shared" si="26"/>
        <v/>
      </c>
      <c r="B113" s="44"/>
      <c r="C113" s="46"/>
      <c r="D113" s="46"/>
      <c r="E113" s="50">
        <f t="shared" si="27"/>
        <v>0</v>
      </c>
      <c r="F113" s="48"/>
      <c r="G113" s="51">
        <f t="shared" si="28"/>
        <v>0</v>
      </c>
      <c r="H113" s="44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9"/>
        <v>0</v>
      </c>
      <c r="U113" s="51">
        <f t="shared" si="30"/>
        <v>0</v>
      </c>
      <c r="V113" s="51">
        <f t="shared" si="31"/>
        <v>0</v>
      </c>
      <c r="W113" s="52">
        <f t="shared" si="32"/>
        <v>0</v>
      </c>
      <c r="X113" s="48"/>
      <c r="Y113" s="58">
        <f t="shared" si="24"/>
        <v>0</v>
      </c>
      <c r="Z113" s="49" t="str">
        <f t="shared" si="33"/>
        <v/>
      </c>
      <c r="AA113" s="64"/>
    </row>
    <row r="114" spans="1:27">
      <c r="A114" s="62" t="str">
        <f t="shared" si="26"/>
        <v/>
      </c>
      <c r="B114" s="44"/>
      <c r="C114" s="46"/>
      <c r="D114" s="46"/>
      <c r="E114" s="50">
        <f t="shared" si="27"/>
        <v>0</v>
      </c>
      <c r="F114" s="48"/>
      <c r="G114" s="51">
        <f t="shared" si="28"/>
        <v>0</v>
      </c>
      <c r="H114" s="44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9"/>
        <v>0</v>
      </c>
      <c r="U114" s="51">
        <f t="shared" si="30"/>
        <v>0</v>
      </c>
      <c r="V114" s="51">
        <f t="shared" si="31"/>
        <v>0</v>
      </c>
      <c r="W114" s="52">
        <f t="shared" si="32"/>
        <v>0</v>
      </c>
      <c r="X114" s="48"/>
      <c r="Y114" s="58">
        <f t="shared" si="24"/>
        <v>0</v>
      </c>
      <c r="Z114" s="49" t="str">
        <f t="shared" si="33"/>
        <v/>
      </c>
      <c r="AA114" s="64"/>
    </row>
    <row r="115" spans="1:27">
      <c r="A115" s="62" t="str">
        <f t="shared" si="26"/>
        <v/>
      </c>
      <c r="B115" s="44"/>
      <c r="C115" s="46"/>
      <c r="D115" s="46"/>
      <c r="E115" s="50">
        <f t="shared" si="27"/>
        <v>0</v>
      </c>
      <c r="F115" s="48"/>
      <c r="G115" s="51">
        <f t="shared" si="28"/>
        <v>0</v>
      </c>
      <c r="H115" s="44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9"/>
        <v>0</v>
      </c>
      <c r="U115" s="51">
        <f t="shared" si="30"/>
        <v>0</v>
      </c>
      <c r="V115" s="51">
        <f t="shared" si="31"/>
        <v>0</v>
      </c>
      <c r="W115" s="52">
        <f t="shared" si="32"/>
        <v>0</v>
      </c>
      <c r="X115" s="48"/>
      <c r="Y115" s="58">
        <f t="shared" si="24"/>
        <v>0</v>
      </c>
      <c r="Z115" s="49" t="str">
        <f t="shared" si="33"/>
        <v/>
      </c>
      <c r="AA115" s="64"/>
    </row>
    <row r="116" spans="1:27">
      <c r="A116" s="62" t="str">
        <f t="shared" si="26"/>
        <v/>
      </c>
      <c r="B116" s="44"/>
      <c r="C116" s="46"/>
      <c r="D116" s="46"/>
      <c r="E116" s="50">
        <f t="shared" si="27"/>
        <v>0</v>
      </c>
      <c r="F116" s="48"/>
      <c r="G116" s="51">
        <f t="shared" si="28"/>
        <v>0</v>
      </c>
      <c r="H116" s="44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9"/>
        <v>0</v>
      </c>
      <c r="U116" s="51">
        <f t="shared" si="30"/>
        <v>0</v>
      </c>
      <c r="V116" s="51">
        <f t="shared" si="31"/>
        <v>0</v>
      </c>
      <c r="W116" s="52">
        <f t="shared" si="32"/>
        <v>0</v>
      </c>
      <c r="X116" s="48"/>
      <c r="Y116" s="58">
        <f t="shared" si="24"/>
        <v>0</v>
      </c>
      <c r="Z116" s="49" t="str">
        <f t="shared" si="33"/>
        <v/>
      </c>
      <c r="AA116" s="64"/>
    </row>
    <row r="117" spans="1:27">
      <c r="A117" s="62" t="str">
        <f t="shared" si="26"/>
        <v/>
      </c>
      <c r="B117" s="44"/>
      <c r="C117" s="46"/>
      <c r="D117" s="46"/>
      <c r="E117" s="50">
        <f t="shared" si="27"/>
        <v>0</v>
      </c>
      <c r="F117" s="48"/>
      <c r="G117" s="51">
        <f t="shared" si="28"/>
        <v>0</v>
      </c>
      <c r="H117" s="44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9"/>
        <v>0</v>
      </c>
      <c r="U117" s="51">
        <f t="shared" si="30"/>
        <v>0</v>
      </c>
      <c r="V117" s="51">
        <f t="shared" si="31"/>
        <v>0</v>
      </c>
      <c r="W117" s="52">
        <f t="shared" si="32"/>
        <v>0</v>
      </c>
      <c r="X117" s="48"/>
      <c r="Y117" s="58">
        <f t="shared" si="24"/>
        <v>0</v>
      </c>
      <c r="Z117" s="49" t="str">
        <f t="shared" si="33"/>
        <v/>
      </c>
      <c r="AA117" s="64"/>
    </row>
    <row r="118" spans="1:27">
      <c r="A118" s="62" t="str">
        <f t="shared" si="26"/>
        <v/>
      </c>
      <c r="B118" s="44"/>
      <c r="C118" s="46"/>
      <c r="D118" s="46"/>
      <c r="E118" s="50">
        <f t="shared" si="27"/>
        <v>0</v>
      </c>
      <c r="F118" s="48"/>
      <c r="G118" s="51">
        <f t="shared" si="28"/>
        <v>0</v>
      </c>
      <c r="H118" s="44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9"/>
        <v>0</v>
      </c>
      <c r="U118" s="51">
        <f t="shared" si="30"/>
        <v>0</v>
      </c>
      <c r="V118" s="51">
        <f t="shared" si="31"/>
        <v>0</v>
      </c>
      <c r="W118" s="52">
        <f t="shared" si="32"/>
        <v>0</v>
      </c>
      <c r="X118" s="48"/>
      <c r="Y118" s="58">
        <f t="shared" si="24"/>
        <v>0</v>
      </c>
      <c r="Z118" s="49" t="str">
        <f t="shared" si="33"/>
        <v/>
      </c>
      <c r="AA118" s="64"/>
    </row>
    <row r="119" spans="1:27">
      <c r="A119" s="62" t="str">
        <f t="shared" si="26"/>
        <v/>
      </c>
      <c r="B119" s="44"/>
      <c r="C119" s="46"/>
      <c r="D119" s="46"/>
      <c r="E119" s="50">
        <f t="shared" si="27"/>
        <v>0</v>
      </c>
      <c r="F119" s="48"/>
      <c r="G119" s="51">
        <f t="shared" si="28"/>
        <v>0</v>
      </c>
      <c r="H119" s="44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9"/>
        <v>0</v>
      </c>
      <c r="U119" s="51">
        <f t="shared" si="30"/>
        <v>0</v>
      </c>
      <c r="V119" s="51">
        <f t="shared" si="31"/>
        <v>0</v>
      </c>
      <c r="W119" s="52">
        <f t="shared" si="32"/>
        <v>0</v>
      </c>
      <c r="X119" s="48"/>
      <c r="Y119" s="58">
        <f t="shared" si="24"/>
        <v>0</v>
      </c>
      <c r="Z119" s="49" t="str">
        <f t="shared" si="33"/>
        <v/>
      </c>
      <c r="AA119" s="64"/>
    </row>
    <row r="120" spans="1:27">
      <c r="A120" s="62" t="str">
        <f t="shared" si="26"/>
        <v/>
      </c>
      <c r="B120" s="44"/>
      <c r="C120" s="46"/>
      <c r="D120" s="46"/>
      <c r="E120" s="50">
        <f t="shared" si="27"/>
        <v>0</v>
      </c>
      <c r="F120" s="48"/>
      <c r="G120" s="51">
        <f t="shared" si="28"/>
        <v>0</v>
      </c>
      <c r="H120" s="44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9"/>
        <v>0</v>
      </c>
      <c r="U120" s="51">
        <f t="shared" si="30"/>
        <v>0</v>
      </c>
      <c r="V120" s="51">
        <f t="shared" si="31"/>
        <v>0</v>
      </c>
      <c r="W120" s="52">
        <f t="shared" si="32"/>
        <v>0</v>
      </c>
      <c r="X120" s="48"/>
      <c r="Y120" s="58">
        <f t="shared" si="24"/>
        <v>0</v>
      </c>
      <c r="Z120" s="49" t="str">
        <f t="shared" si="33"/>
        <v/>
      </c>
      <c r="AA120" s="64"/>
    </row>
    <row r="121" spans="1:27">
      <c r="A121" s="62" t="str">
        <f t="shared" si="26"/>
        <v/>
      </c>
      <c r="B121" s="44"/>
      <c r="C121" s="46"/>
      <c r="D121" s="46"/>
      <c r="E121" s="50">
        <f t="shared" si="27"/>
        <v>0</v>
      </c>
      <c r="F121" s="48"/>
      <c r="G121" s="51">
        <f t="shared" si="28"/>
        <v>0</v>
      </c>
      <c r="H121" s="44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9"/>
        <v>0</v>
      </c>
      <c r="U121" s="51">
        <f t="shared" si="30"/>
        <v>0</v>
      </c>
      <c r="V121" s="51">
        <f t="shared" si="31"/>
        <v>0</v>
      </c>
      <c r="W121" s="52">
        <f t="shared" si="32"/>
        <v>0</v>
      </c>
      <c r="X121" s="48"/>
      <c r="Y121" s="58">
        <f t="shared" si="24"/>
        <v>0</v>
      </c>
      <c r="Z121" s="49" t="str">
        <f t="shared" si="33"/>
        <v/>
      </c>
      <c r="AA121" s="64"/>
    </row>
    <row r="122" spans="1:27">
      <c r="A122" s="62" t="str">
        <f t="shared" si="26"/>
        <v/>
      </c>
      <c r="B122" s="44"/>
      <c r="C122" s="46"/>
      <c r="D122" s="46"/>
      <c r="E122" s="50">
        <f t="shared" si="27"/>
        <v>0</v>
      </c>
      <c r="F122" s="48"/>
      <c r="G122" s="51">
        <f t="shared" si="28"/>
        <v>0</v>
      </c>
      <c r="H122" s="44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9"/>
        <v>0</v>
      </c>
      <c r="U122" s="51">
        <f t="shared" si="30"/>
        <v>0</v>
      </c>
      <c r="V122" s="51">
        <f t="shared" si="31"/>
        <v>0</v>
      </c>
      <c r="W122" s="52">
        <f t="shared" si="32"/>
        <v>0</v>
      </c>
      <c r="X122" s="48"/>
      <c r="Y122" s="58">
        <f t="shared" si="24"/>
        <v>0</v>
      </c>
      <c r="Z122" s="49" t="str">
        <f t="shared" si="33"/>
        <v/>
      </c>
      <c r="AA122" s="64"/>
    </row>
    <row r="123" spans="1:27">
      <c r="A123" s="62" t="str">
        <f t="shared" si="26"/>
        <v/>
      </c>
      <c r="B123" s="44"/>
      <c r="C123" s="46"/>
      <c r="D123" s="46"/>
      <c r="E123" s="50">
        <f t="shared" si="27"/>
        <v>0</v>
      </c>
      <c r="F123" s="48"/>
      <c r="G123" s="51">
        <f t="shared" si="28"/>
        <v>0</v>
      </c>
      <c r="H123" s="44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9"/>
        <v>0</v>
      </c>
      <c r="U123" s="51">
        <f t="shared" si="30"/>
        <v>0</v>
      </c>
      <c r="V123" s="51">
        <f t="shared" si="31"/>
        <v>0</v>
      </c>
      <c r="W123" s="52">
        <f t="shared" si="32"/>
        <v>0</v>
      </c>
      <c r="X123" s="48"/>
      <c r="Y123" s="58">
        <f t="shared" si="24"/>
        <v>0</v>
      </c>
      <c r="Z123" s="49" t="str">
        <f t="shared" si="33"/>
        <v/>
      </c>
      <c r="AA123" s="64"/>
    </row>
    <row r="124" spans="1:27">
      <c r="A124" s="62" t="str">
        <f t="shared" si="26"/>
        <v/>
      </c>
      <c r="B124" s="44"/>
      <c r="C124" s="46"/>
      <c r="D124" s="46"/>
      <c r="E124" s="50">
        <f t="shared" si="27"/>
        <v>0</v>
      </c>
      <c r="F124" s="48"/>
      <c r="G124" s="51">
        <f t="shared" si="28"/>
        <v>0</v>
      </c>
      <c r="H124" s="44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9"/>
        <v>0</v>
      </c>
      <c r="U124" s="51">
        <f t="shared" si="30"/>
        <v>0</v>
      </c>
      <c r="V124" s="51">
        <f t="shared" si="31"/>
        <v>0</v>
      </c>
      <c r="W124" s="52">
        <f t="shared" si="32"/>
        <v>0</v>
      </c>
      <c r="X124" s="48"/>
      <c r="Y124" s="58">
        <f t="shared" si="24"/>
        <v>0</v>
      </c>
      <c r="Z124" s="49" t="str">
        <f t="shared" si="33"/>
        <v/>
      </c>
      <c r="AA124" s="64"/>
    </row>
    <row r="125" spans="1:27">
      <c r="A125" s="62" t="str">
        <f t="shared" si="26"/>
        <v/>
      </c>
      <c r="B125" s="44"/>
      <c r="C125" s="46"/>
      <c r="D125" s="46"/>
      <c r="E125" s="50">
        <f t="shared" si="27"/>
        <v>0</v>
      </c>
      <c r="F125" s="48"/>
      <c r="G125" s="51">
        <f t="shared" si="28"/>
        <v>0</v>
      </c>
      <c r="H125" s="44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9"/>
        <v>0</v>
      </c>
      <c r="U125" s="51">
        <f t="shared" si="30"/>
        <v>0</v>
      </c>
      <c r="V125" s="51">
        <f t="shared" si="31"/>
        <v>0</v>
      </c>
      <c r="W125" s="52">
        <f t="shared" si="32"/>
        <v>0</v>
      </c>
      <c r="X125" s="48"/>
      <c r="Y125" s="58">
        <f t="shared" si="24"/>
        <v>0</v>
      </c>
      <c r="Z125" s="49" t="str">
        <f t="shared" si="33"/>
        <v/>
      </c>
      <c r="AA125" s="64"/>
    </row>
    <row r="126" spans="1:27">
      <c r="A126" s="62" t="str">
        <f t="shared" si="26"/>
        <v/>
      </c>
      <c r="B126" s="44"/>
      <c r="C126" s="46"/>
      <c r="D126" s="46"/>
      <c r="E126" s="50">
        <f t="shared" si="27"/>
        <v>0</v>
      </c>
      <c r="F126" s="48"/>
      <c r="G126" s="51">
        <f t="shared" si="28"/>
        <v>0</v>
      </c>
      <c r="H126" s="44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9"/>
        <v>0</v>
      </c>
      <c r="U126" s="51">
        <f t="shared" si="30"/>
        <v>0</v>
      </c>
      <c r="V126" s="51">
        <f t="shared" si="31"/>
        <v>0</v>
      </c>
      <c r="W126" s="52">
        <f t="shared" si="32"/>
        <v>0</v>
      </c>
      <c r="X126" s="48"/>
      <c r="Y126" s="58">
        <f t="shared" si="24"/>
        <v>0</v>
      </c>
      <c r="Z126" s="49" t="str">
        <f t="shared" si="33"/>
        <v/>
      </c>
      <c r="AA126" s="64"/>
    </row>
    <row r="127" spans="1:27">
      <c r="A127" s="62" t="str">
        <f t="shared" si="26"/>
        <v/>
      </c>
      <c r="B127" s="44"/>
      <c r="C127" s="46"/>
      <c r="D127" s="46"/>
      <c r="E127" s="50">
        <f t="shared" si="27"/>
        <v>0</v>
      </c>
      <c r="F127" s="48"/>
      <c r="G127" s="51">
        <f t="shared" si="28"/>
        <v>0</v>
      </c>
      <c r="H127" s="44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9"/>
        <v>0</v>
      </c>
      <c r="U127" s="51">
        <f t="shared" si="30"/>
        <v>0</v>
      </c>
      <c r="V127" s="51">
        <f t="shared" si="31"/>
        <v>0</v>
      </c>
      <c r="W127" s="52">
        <f t="shared" si="32"/>
        <v>0</v>
      </c>
      <c r="X127" s="48"/>
      <c r="Y127" s="58">
        <f t="shared" si="24"/>
        <v>0</v>
      </c>
      <c r="Z127" s="49" t="str">
        <f t="shared" si="33"/>
        <v/>
      </c>
      <c r="AA127" s="64"/>
    </row>
    <row r="128" spans="1:27">
      <c r="A128" s="62" t="str">
        <f t="shared" si="26"/>
        <v/>
      </c>
      <c r="B128" s="44"/>
      <c r="C128" s="46"/>
      <c r="D128" s="46"/>
      <c r="E128" s="50">
        <f t="shared" si="27"/>
        <v>0</v>
      </c>
      <c r="F128" s="48"/>
      <c r="G128" s="51">
        <f t="shared" si="28"/>
        <v>0</v>
      </c>
      <c r="H128" s="44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9"/>
        <v>0</v>
      </c>
      <c r="U128" s="51">
        <f t="shared" si="30"/>
        <v>0</v>
      </c>
      <c r="V128" s="51">
        <f t="shared" si="31"/>
        <v>0</v>
      </c>
      <c r="W128" s="52">
        <f t="shared" si="32"/>
        <v>0</v>
      </c>
      <c r="X128" s="48"/>
      <c r="Y128" s="58">
        <f t="shared" si="24"/>
        <v>0</v>
      </c>
      <c r="Z128" s="49" t="str">
        <f t="shared" si="33"/>
        <v/>
      </c>
      <c r="AA128" s="64"/>
    </row>
    <row r="129" spans="1:27">
      <c r="A129" s="62" t="str">
        <f t="shared" si="26"/>
        <v/>
      </c>
      <c r="B129" s="44"/>
      <c r="C129" s="46"/>
      <c r="D129" s="46"/>
      <c r="E129" s="50">
        <f t="shared" si="27"/>
        <v>0</v>
      </c>
      <c r="F129" s="48"/>
      <c r="G129" s="51">
        <f t="shared" si="28"/>
        <v>0</v>
      </c>
      <c r="H129" s="44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9"/>
        <v>0</v>
      </c>
      <c r="U129" s="51">
        <f t="shared" si="30"/>
        <v>0</v>
      </c>
      <c r="V129" s="51">
        <f t="shared" si="31"/>
        <v>0</v>
      </c>
      <c r="W129" s="52">
        <f t="shared" si="32"/>
        <v>0</v>
      </c>
      <c r="X129" s="48"/>
      <c r="Y129" s="58">
        <f t="shared" si="24"/>
        <v>0</v>
      </c>
      <c r="Z129" s="49" t="str">
        <f t="shared" si="33"/>
        <v/>
      </c>
      <c r="AA129" s="64"/>
    </row>
    <row r="130" spans="1:27">
      <c r="A130" s="62" t="str">
        <f t="shared" si="26"/>
        <v/>
      </c>
      <c r="B130" s="44"/>
      <c r="C130" s="46"/>
      <c r="D130" s="46"/>
      <c r="E130" s="50">
        <f t="shared" si="27"/>
        <v>0</v>
      </c>
      <c r="F130" s="48"/>
      <c r="G130" s="51">
        <f t="shared" si="28"/>
        <v>0</v>
      </c>
      <c r="H130" s="44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9"/>
        <v>0</v>
      </c>
      <c r="U130" s="51">
        <f t="shared" si="30"/>
        <v>0</v>
      </c>
      <c r="V130" s="51">
        <f t="shared" si="31"/>
        <v>0</v>
      </c>
      <c r="W130" s="52">
        <f t="shared" si="32"/>
        <v>0</v>
      </c>
      <c r="X130" s="48"/>
      <c r="Y130" s="58">
        <f t="shared" si="24"/>
        <v>0</v>
      </c>
      <c r="Z130" s="49" t="str">
        <f t="shared" si="33"/>
        <v/>
      </c>
      <c r="AA130" s="64"/>
    </row>
    <row r="131" spans="1:27">
      <c r="A131" s="62" t="str">
        <f t="shared" si="26"/>
        <v/>
      </c>
      <c r="B131" s="44"/>
      <c r="C131" s="46"/>
      <c r="D131" s="46"/>
      <c r="E131" s="50">
        <f t="shared" si="27"/>
        <v>0</v>
      </c>
      <c r="F131" s="48"/>
      <c r="G131" s="51">
        <f t="shared" si="28"/>
        <v>0</v>
      </c>
      <c r="H131" s="44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9"/>
        <v>0</v>
      </c>
      <c r="U131" s="51">
        <f t="shared" si="30"/>
        <v>0</v>
      </c>
      <c r="V131" s="51">
        <f t="shared" si="31"/>
        <v>0</v>
      </c>
      <c r="W131" s="52">
        <f t="shared" si="32"/>
        <v>0</v>
      </c>
      <c r="X131" s="48"/>
      <c r="Y131" s="58">
        <f t="shared" si="24"/>
        <v>0</v>
      </c>
      <c r="Z131" s="49" t="str">
        <f t="shared" si="33"/>
        <v/>
      </c>
      <c r="AA131" s="64"/>
    </row>
    <row r="132" spans="1:27">
      <c r="A132" s="62" t="str">
        <f t="shared" si="26"/>
        <v/>
      </c>
      <c r="B132" s="44"/>
      <c r="C132" s="46"/>
      <c r="D132" s="46"/>
      <c r="E132" s="50">
        <f t="shared" si="27"/>
        <v>0</v>
      </c>
      <c r="F132" s="48"/>
      <c r="G132" s="51">
        <f t="shared" si="28"/>
        <v>0</v>
      </c>
      <c r="H132" s="44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29"/>
        <v>0</v>
      </c>
      <c r="U132" s="51">
        <f t="shared" si="30"/>
        <v>0</v>
      </c>
      <c r="V132" s="51">
        <f t="shared" si="31"/>
        <v>0</v>
      </c>
      <c r="W132" s="52">
        <f t="shared" si="32"/>
        <v>0</v>
      </c>
      <c r="X132" s="48"/>
      <c r="Y132" s="58">
        <f t="shared" si="24"/>
        <v>0</v>
      </c>
      <c r="Z132" s="49" t="str">
        <f t="shared" si="33"/>
        <v/>
      </c>
      <c r="AA132" s="64"/>
    </row>
    <row r="133" spans="1:27">
      <c r="A133" s="62" t="str">
        <f t="shared" ref="A133:A164" si="34">IF(B133="","","LOC-"&amp;TEXT(ROW()-5,"000"))</f>
        <v/>
      </c>
      <c r="B133" s="44"/>
      <c r="C133" s="46"/>
      <c r="D133" s="46"/>
      <c r="E133" s="50">
        <f t="shared" ref="E133:E164" si="35">IF(OR(B133="",C133="",D133=""),0,MAX(0,D133-C133))</f>
        <v>0</v>
      </c>
      <c r="F133" s="48"/>
      <c r="G133" s="51">
        <f t="shared" ref="G133:G164" si="36">IF(OR(B133="",E133=0,F133=""),0,E133*F133)</f>
        <v>0</v>
      </c>
      <c r="H133" s="44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7">IF(OR(B133="",E133=0),0,S133/E133)</f>
        <v>0</v>
      </c>
      <c r="U133" s="51">
        <f t="shared" ref="U133:U164" si="38">IF(B133="",0,G133-S133)</f>
        <v>0</v>
      </c>
      <c r="V133" s="51">
        <f t="shared" ref="V133:V164" si="39">IF(OR(B133="",E133=0),0,U133/E133)</f>
        <v>0</v>
      </c>
      <c r="W133" s="52">
        <f t="shared" ref="W133:W164" si="40">IF(OR(B133="",G133=0),0,U133/G133)</f>
        <v>0</v>
      </c>
      <c r="X133" s="48"/>
      <c r="Y133" s="58">
        <f t="shared" si="24"/>
        <v>0</v>
      </c>
      <c r="Z133" s="49" t="str">
        <f t="shared" si="33"/>
        <v/>
      </c>
      <c r="AA133" s="64"/>
    </row>
    <row r="134" spans="1:27">
      <c r="A134" s="62" t="str">
        <f t="shared" si="34"/>
        <v/>
      </c>
      <c r="B134" s="44"/>
      <c r="C134" s="46"/>
      <c r="D134" s="46"/>
      <c r="E134" s="50">
        <f t="shared" si="35"/>
        <v>0</v>
      </c>
      <c r="F134" s="48"/>
      <c r="G134" s="51">
        <f t="shared" si="36"/>
        <v>0</v>
      </c>
      <c r="H134" s="44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7"/>
        <v>0</v>
      </c>
      <c r="U134" s="51">
        <f t="shared" si="38"/>
        <v>0</v>
      </c>
      <c r="V134" s="51">
        <f t="shared" si="39"/>
        <v>0</v>
      </c>
      <c r="W134" s="52">
        <f t="shared" si="40"/>
        <v>0</v>
      </c>
      <c r="X134" s="48"/>
      <c r="Y134" s="58">
        <f t="shared" ref="Y134:Y197" si="41">IF(B134="",0,IFERROR(MAX(0,G134-X134),G134))</f>
        <v>0</v>
      </c>
      <c r="Z134" s="49" t="str">
        <f t="shared" ref="Z134:Z165" si="42">IF(B134="","",IF(COUNTIFS($C$6:$C$204,"&lt;"&amp;D134,$D$6:$D$204,"&gt;"&amp;C134,$I$6:$I$204,"&lt;&gt;Cancelada",$I$6:$I$204,"&lt;&gt;Consulta")&gt;1,"CONFLITO","OK"))</f>
        <v/>
      </c>
      <c r="AA134" s="64"/>
    </row>
    <row r="135" spans="1:27">
      <c r="A135" s="62" t="str">
        <f t="shared" si="34"/>
        <v/>
      </c>
      <c r="B135" s="44"/>
      <c r="C135" s="46"/>
      <c r="D135" s="46"/>
      <c r="E135" s="50">
        <f t="shared" si="35"/>
        <v>0</v>
      </c>
      <c r="F135" s="48"/>
      <c r="G135" s="51">
        <f t="shared" si="36"/>
        <v>0</v>
      </c>
      <c r="H135" s="44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7"/>
        <v>0</v>
      </c>
      <c r="U135" s="51">
        <f t="shared" si="38"/>
        <v>0</v>
      </c>
      <c r="V135" s="51">
        <f t="shared" si="39"/>
        <v>0</v>
      </c>
      <c r="W135" s="52">
        <f t="shared" si="40"/>
        <v>0</v>
      </c>
      <c r="X135" s="48"/>
      <c r="Y135" s="58">
        <f t="shared" si="41"/>
        <v>0</v>
      </c>
      <c r="Z135" s="49" t="str">
        <f t="shared" si="42"/>
        <v/>
      </c>
      <c r="AA135" s="64"/>
    </row>
    <row r="136" spans="1:27">
      <c r="A136" s="62" t="str">
        <f t="shared" si="34"/>
        <v/>
      </c>
      <c r="B136" s="44"/>
      <c r="C136" s="46"/>
      <c r="D136" s="46"/>
      <c r="E136" s="50">
        <f t="shared" si="35"/>
        <v>0</v>
      </c>
      <c r="F136" s="48"/>
      <c r="G136" s="51">
        <f t="shared" si="36"/>
        <v>0</v>
      </c>
      <c r="H136" s="44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7"/>
        <v>0</v>
      </c>
      <c r="U136" s="51">
        <f t="shared" si="38"/>
        <v>0</v>
      </c>
      <c r="V136" s="51">
        <f t="shared" si="39"/>
        <v>0</v>
      </c>
      <c r="W136" s="52">
        <f t="shared" si="40"/>
        <v>0</v>
      </c>
      <c r="X136" s="48"/>
      <c r="Y136" s="58">
        <f t="shared" si="41"/>
        <v>0</v>
      </c>
      <c r="Z136" s="49" t="str">
        <f t="shared" si="42"/>
        <v/>
      </c>
      <c r="AA136" s="64"/>
    </row>
    <row r="137" spans="1:27">
      <c r="A137" s="62" t="str">
        <f t="shared" si="34"/>
        <v/>
      </c>
      <c r="B137" s="44"/>
      <c r="C137" s="46"/>
      <c r="D137" s="46"/>
      <c r="E137" s="50">
        <f t="shared" si="35"/>
        <v>0</v>
      </c>
      <c r="F137" s="48"/>
      <c r="G137" s="51">
        <f t="shared" si="36"/>
        <v>0</v>
      </c>
      <c r="H137" s="44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7"/>
        <v>0</v>
      </c>
      <c r="U137" s="51">
        <f t="shared" si="38"/>
        <v>0</v>
      </c>
      <c r="V137" s="51">
        <f t="shared" si="39"/>
        <v>0</v>
      </c>
      <c r="W137" s="52">
        <f t="shared" si="40"/>
        <v>0</v>
      </c>
      <c r="X137" s="48"/>
      <c r="Y137" s="58">
        <f t="shared" si="41"/>
        <v>0</v>
      </c>
      <c r="Z137" s="49" t="str">
        <f t="shared" si="42"/>
        <v/>
      </c>
      <c r="AA137" s="64"/>
    </row>
    <row r="138" spans="1:27">
      <c r="A138" s="62" t="str">
        <f t="shared" si="34"/>
        <v/>
      </c>
      <c r="B138" s="44"/>
      <c r="C138" s="46"/>
      <c r="D138" s="46"/>
      <c r="E138" s="50">
        <f t="shared" si="35"/>
        <v>0</v>
      </c>
      <c r="F138" s="48"/>
      <c r="G138" s="51">
        <f t="shared" si="36"/>
        <v>0</v>
      </c>
      <c r="H138" s="44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7"/>
        <v>0</v>
      </c>
      <c r="U138" s="51">
        <f t="shared" si="38"/>
        <v>0</v>
      </c>
      <c r="V138" s="51">
        <f t="shared" si="39"/>
        <v>0</v>
      </c>
      <c r="W138" s="52">
        <f t="shared" si="40"/>
        <v>0</v>
      </c>
      <c r="X138" s="48"/>
      <c r="Y138" s="58">
        <f t="shared" si="41"/>
        <v>0</v>
      </c>
      <c r="Z138" s="49" t="str">
        <f t="shared" si="42"/>
        <v/>
      </c>
      <c r="AA138" s="64"/>
    </row>
    <row r="139" spans="1:27">
      <c r="A139" s="62" t="str">
        <f t="shared" si="34"/>
        <v/>
      </c>
      <c r="B139" s="44"/>
      <c r="C139" s="46"/>
      <c r="D139" s="46"/>
      <c r="E139" s="50">
        <f t="shared" si="35"/>
        <v>0</v>
      </c>
      <c r="F139" s="48"/>
      <c r="G139" s="51">
        <f t="shared" si="36"/>
        <v>0</v>
      </c>
      <c r="H139" s="44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7"/>
        <v>0</v>
      </c>
      <c r="U139" s="51">
        <f t="shared" si="38"/>
        <v>0</v>
      </c>
      <c r="V139" s="51">
        <f t="shared" si="39"/>
        <v>0</v>
      </c>
      <c r="W139" s="52">
        <f t="shared" si="40"/>
        <v>0</v>
      </c>
      <c r="X139" s="48"/>
      <c r="Y139" s="58">
        <f t="shared" si="41"/>
        <v>0</v>
      </c>
      <c r="Z139" s="49" t="str">
        <f t="shared" si="42"/>
        <v/>
      </c>
      <c r="AA139" s="64"/>
    </row>
    <row r="140" spans="1:27">
      <c r="A140" s="62" t="str">
        <f t="shared" si="34"/>
        <v/>
      </c>
      <c r="B140" s="44"/>
      <c r="C140" s="46"/>
      <c r="D140" s="46"/>
      <c r="E140" s="50">
        <f t="shared" si="35"/>
        <v>0</v>
      </c>
      <c r="F140" s="48"/>
      <c r="G140" s="51">
        <f t="shared" si="36"/>
        <v>0</v>
      </c>
      <c r="H140" s="44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7"/>
        <v>0</v>
      </c>
      <c r="U140" s="51">
        <f t="shared" si="38"/>
        <v>0</v>
      </c>
      <c r="V140" s="51">
        <f t="shared" si="39"/>
        <v>0</v>
      </c>
      <c r="W140" s="52">
        <f t="shared" si="40"/>
        <v>0</v>
      </c>
      <c r="X140" s="48"/>
      <c r="Y140" s="58">
        <f t="shared" si="41"/>
        <v>0</v>
      </c>
      <c r="Z140" s="49" t="str">
        <f t="shared" si="42"/>
        <v/>
      </c>
      <c r="AA140" s="64"/>
    </row>
    <row r="141" spans="1:27">
      <c r="A141" s="62" t="str">
        <f t="shared" si="34"/>
        <v/>
      </c>
      <c r="B141" s="44"/>
      <c r="C141" s="46"/>
      <c r="D141" s="46"/>
      <c r="E141" s="50">
        <f t="shared" si="35"/>
        <v>0</v>
      </c>
      <c r="F141" s="48"/>
      <c r="G141" s="51">
        <f t="shared" si="36"/>
        <v>0</v>
      </c>
      <c r="H141" s="44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7"/>
        <v>0</v>
      </c>
      <c r="U141" s="51">
        <f t="shared" si="38"/>
        <v>0</v>
      </c>
      <c r="V141" s="51">
        <f t="shared" si="39"/>
        <v>0</v>
      </c>
      <c r="W141" s="52">
        <f t="shared" si="40"/>
        <v>0</v>
      </c>
      <c r="X141" s="48"/>
      <c r="Y141" s="58">
        <f t="shared" si="41"/>
        <v>0</v>
      </c>
      <c r="Z141" s="49" t="str">
        <f t="shared" si="42"/>
        <v/>
      </c>
      <c r="AA141" s="64"/>
    </row>
    <row r="142" spans="1:27">
      <c r="A142" s="62" t="str">
        <f t="shared" si="34"/>
        <v/>
      </c>
      <c r="B142" s="44"/>
      <c r="C142" s="46"/>
      <c r="D142" s="46"/>
      <c r="E142" s="50">
        <f t="shared" si="35"/>
        <v>0</v>
      </c>
      <c r="F142" s="48"/>
      <c r="G142" s="51">
        <f t="shared" si="36"/>
        <v>0</v>
      </c>
      <c r="H142" s="44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7"/>
        <v>0</v>
      </c>
      <c r="U142" s="51">
        <f t="shared" si="38"/>
        <v>0</v>
      </c>
      <c r="V142" s="51">
        <f t="shared" si="39"/>
        <v>0</v>
      </c>
      <c r="W142" s="52">
        <f t="shared" si="40"/>
        <v>0</v>
      </c>
      <c r="X142" s="48"/>
      <c r="Y142" s="58">
        <f t="shared" si="41"/>
        <v>0</v>
      </c>
      <c r="Z142" s="49" t="str">
        <f t="shared" si="42"/>
        <v/>
      </c>
      <c r="AA142" s="64"/>
    </row>
    <row r="143" spans="1:27">
      <c r="A143" s="62" t="str">
        <f t="shared" si="34"/>
        <v/>
      </c>
      <c r="B143" s="44"/>
      <c r="C143" s="46"/>
      <c r="D143" s="46"/>
      <c r="E143" s="50">
        <f t="shared" si="35"/>
        <v>0</v>
      </c>
      <c r="F143" s="48"/>
      <c r="G143" s="51">
        <f t="shared" si="36"/>
        <v>0</v>
      </c>
      <c r="H143" s="44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7"/>
        <v>0</v>
      </c>
      <c r="U143" s="51">
        <f t="shared" si="38"/>
        <v>0</v>
      </c>
      <c r="V143" s="51">
        <f t="shared" si="39"/>
        <v>0</v>
      </c>
      <c r="W143" s="52">
        <f t="shared" si="40"/>
        <v>0</v>
      </c>
      <c r="X143" s="48"/>
      <c r="Y143" s="58">
        <f t="shared" si="41"/>
        <v>0</v>
      </c>
      <c r="Z143" s="49" t="str">
        <f t="shared" si="42"/>
        <v/>
      </c>
      <c r="AA143" s="64"/>
    </row>
    <row r="144" spans="1:27">
      <c r="A144" s="62" t="str">
        <f t="shared" si="34"/>
        <v/>
      </c>
      <c r="B144" s="44"/>
      <c r="C144" s="46"/>
      <c r="D144" s="46"/>
      <c r="E144" s="50">
        <f t="shared" si="35"/>
        <v>0</v>
      </c>
      <c r="F144" s="48"/>
      <c r="G144" s="51">
        <f t="shared" si="36"/>
        <v>0</v>
      </c>
      <c r="H144" s="44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7"/>
        <v>0</v>
      </c>
      <c r="U144" s="51">
        <f t="shared" si="38"/>
        <v>0</v>
      </c>
      <c r="V144" s="51">
        <f t="shared" si="39"/>
        <v>0</v>
      </c>
      <c r="W144" s="52">
        <f t="shared" si="40"/>
        <v>0</v>
      </c>
      <c r="X144" s="48"/>
      <c r="Y144" s="58">
        <f t="shared" si="41"/>
        <v>0</v>
      </c>
      <c r="Z144" s="49" t="str">
        <f t="shared" si="42"/>
        <v/>
      </c>
      <c r="AA144" s="64"/>
    </row>
    <row r="145" spans="1:27">
      <c r="A145" s="62" t="str">
        <f t="shared" si="34"/>
        <v/>
      </c>
      <c r="B145" s="44"/>
      <c r="C145" s="46"/>
      <c r="D145" s="46"/>
      <c r="E145" s="50">
        <f t="shared" si="35"/>
        <v>0</v>
      </c>
      <c r="F145" s="48"/>
      <c r="G145" s="51">
        <f t="shared" si="36"/>
        <v>0</v>
      </c>
      <c r="H145" s="44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7"/>
        <v>0</v>
      </c>
      <c r="U145" s="51">
        <f t="shared" si="38"/>
        <v>0</v>
      </c>
      <c r="V145" s="51">
        <f t="shared" si="39"/>
        <v>0</v>
      </c>
      <c r="W145" s="52">
        <f t="shared" si="40"/>
        <v>0</v>
      </c>
      <c r="X145" s="48"/>
      <c r="Y145" s="58">
        <f t="shared" si="41"/>
        <v>0</v>
      </c>
      <c r="Z145" s="49" t="str">
        <f t="shared" si="42"/>
        <v/>
      </c>
      <c r="AA145" s="64"/>
    </row>
    <row r="146" spans="1:27">
      <c r="A146" s="62" t="str">
        <f t="shared" si="34"/>
        <v/>
      </c>
      <c r="B146" s="44"/>
      <c r="C146" s="46"/>
      <c r="D146" s="46"/>
      <c r="E146" s="50">
        <f t="shared" si="35"/>
        <v>0</v>
      </c>
      <c r="F146" s="48"/>
      <c r="G146" s="51">
        <f t="shared" si="36"/>
        <v>0</v>
      </c>
      <c r="H146" s="44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7"/>
        <v>0</v>
      </c>
      <c r="U146" s="51">
        <f t="shared" si="38"/>
        <v>0</v>
      </c>
      <c r="V146" s="51">
        <f t="shared" si="39"/>
        <v>0</v>
      </c>
      <c r="W146" s="52">
        <f t="shared" si="40"/>
        <v>0</v>
      </c>
      <c r="X146" s="48"/>
      <c r="Y146" s="58">
        <f t="shared" si="41"/>
        <v>0</v>
      </c>
      <c r="Z146" s="49" t="str">
        <f t="shared" si="42"/>
        <v/>
      </c>
      <c r="AA146" s="64"/>
    </row>
    <row r="147" spans="1:27">
      <c r="A147" s="62" t="str">
        <f t="shared" si="34"/>
        <v/>
      </c>
      <c r="B147" s="44"/>
      <c r="C147" s="46"/>
      <c r="D147" s="46"/>
      <c r="E147" s="50">
        <f t="shared" si="35"/>
        <v>0</v>
      </c>
      <c r="F147" s="48"/>
      <c r="G147" s="51">
        <f t="shared" si="36"/>
        <v>0</v>
      </c>
      <c r="H147" s="44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7"/>
        <v>0</v>
      </c>
      <c r="U147" s="51">
        <f t="shared" si="38"/>
        <v>0</v>
      </c>
      <c r="V147" s="51">
        <f t="shared" si="39"/>
        <v>0</v>
      </c>
      <c r="W147" s="52">
        <f t="shared" si="40"/>
        <v>0</v>
      </c>
      <c r="X147" s="48"/>
      <c r="Y147" s="58">
        <f t="shared" si="41"/>
        <v>0</v>
      </c>
      <c r="Z147" s="49" t="str">
        <f t="shared" si="42"/>
        <v/>
      </c>
      <c r="AA147" s="64"/>
    </row>
    <row r="148" spans="1:27">
      <c r="A148" s="62" t="str">
        <f t="shared" si="34"/>
        <v/>
      </c>
      <c r="B148" s="44"/>
      <c r="C148" s="46"/>
      <c r="D148" s="46"/>
      <c r="E148" s="50">
        <f t="shared" si="35"/>
        <v>0</v>
      </c>
      <c r="F148" s="48"/>
      <c r="G148" s="51">
        <f t="shared" si="36"/>
        <v>0</v>
      </c>
      <c r="H148" s="44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7"/>
        <v>0</v>
      </c>
      <c r="U148" s="51">
        <f t="shared" si="38"/>
        <v>0</v>
      </c>
      <c r="V148" s="51">
        <f t="shared" si="39"/>
        <v>0</v>
      </c>
      <c r="W148" s="52">
        <f t="shared" si="40"/>
        <v>0</v>
      </c>
      <c r="X148" s="48"/>
      <c r="Y148" s="58">
        <f t="shared" si="41"/>
        <v>0</v>
      </c>
      <c r="Z148" s="49" t="str">
        <f t="shared" si="42"/>
        <v/>
      </c>
      <c r="AA148" s="64"/>
    </row>
    <row r="149" spans="1:27">
      <c r="A149" s="62" t="str">
        <f t="shared" si="34"/>
        <v/>
      </c>
      <c r="B149" s="44"/>
      <c r="C149" s="46"/>
      <c r="D149" s="46"/>
      <c r="E149" s="50">
        <f t="shared" si="35"/>
        <v>0</v>
      </c>
      <c r="F149" s="48"/>
      <c r="G149" s="51">
        <f t="shared" si="36"/>
        <v>0</v>
      </c>
      <c r="H149" s="44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7"/>
        <v>0</v>
      </c>
      <c r="U149" s="51">
        <f t="shared" si="38"/>
        <v>0</v>
      </c>
      <c r="V149" s="51">
        <f t="shared" si="39"/>
        <v>0</v>
      </c>
      <c r="W149" s="52">
        <f t="shared" si="40"/>
        <v>0</v>
      </c>
      <c r="X149" s="48"/>
      <c r="Y149" s="58">
        <f t="shared" si="41"/>
        <v>0</v>
      </c>
      <c r="Z149" s="49" t="str">
        <f t="shared" si="42"/>
        <v/>
      </c>
      <c r="AA149" s="64"/>
    </row>
    <row r="150" spans="1:27">
      <c r="A150" s="62" t="str">
        <f t="shared" si="34"/>
        <v/>
      </c>
      <c r="B150" s="44"/>
      <c r="C150" s="46"/>
      <c r="D150" s="46"/>
      <c r="E150" s="50">
        <f t="shared" si="35"/>
        <v>0</v>
      </c>
      <c r="F150" s="48"/>
      <c r="G150" s="51">
        <f t="shared" si="36"/>
        <v>0</v>
      </c>
      <c r="H150" s="44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7"/>
        <v>0</v>
      </c>
      <c r="U150" s="51">
        <f t="shared" si="38"/>
        <v>0</v>
      </c>
      <c r="V150" s="51">
        <f t="shared" si="39"/>
        <v>0</v>
      </c>
      <c r="W150" s="52">
        <f t="shared" si="40"/>
        <v>0</v>
      </c>
      <c r="X150" s="48"/>
      <c r="Y150" s="58">
        <f t="shared" si="41"/>
        <v>0</v>
      </c>
      <c r="Z150" s="49" t="str">
        <f t="shared" si="42"/>
        <v/>
      </c>
      <c r="AA150" s="64"/>
    </row>
    <row r="151" spans="1:27">
      <c r="A151" s="62" t="str">
        <f t="shared" si="34"/>
        <v/>
      </c>
      <c r="B151" s="44"/>
      <c r="C151" s="46"/>
      <c r="D151" s="46"/>
      <c r="E151" s="50">
        <f t="shared" si="35"/>
        <v>0</v>
      </c>
      <c r="F151" s="48"/>
      <c r="G151" s="51">
        <f t="shared" si="36"/>
        <v>0</v>
      </c>
      <c r="H151" s="44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7"/>
        <v>0</v>
      </c>
      <c r="U151" s="51">
        <f t="shared" si="38"/>
        <v>0</v>
      </c>
      <c r="V151" s="51">
        <f t="shared" si="39"/>
        <v>0</v>
      </c>
      <c r="W151" s="52">
        <f t="shared" si="40"/>
        <v>0</v>
      </c>
      <c r="X151" s="48"/>
      <c r="Y151" s="58">
        <f t="shared" si="41"/>
        <v>0</v>
      </c>
      <c r="Z151" s="49" t="str">
        <f t="shared" si="42"/>
        <v/>
      </c>
      <c r="AA151" s="64"/>
    </row>
    <row r="152" spans="1:27">
      <c r="A152" s="62" t="str">
        <f t="shared" si="34"/>
        <v/>
      </c>
      <c r="B152" s="44"/>
      <c r="C152" s="46"/>
      <c r="D152" s="46"/>
      <c r="E152" s="50">
        <f t="shared" si="35"/>
        <v>0</v>
      </c>
      <c r="F152" s="48"/>
      <c r="G152" s="51">
        <f t="shared" si="36"/>
        <v>0</v>
      </c>
      <c r="H152" s="44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7"/>
        <v>0</v>
      </c>
      <c r="U152" s="51">
        <f t="shared" si="38"/>
        <v>0</v>
      </c>
      <c r="V152" s="51">
        <f t="shared" si="39"/>
        <v>0</v>
      </c>
      <c r="W152" s="52">
        <f t="shared" si="40"/>
        <v>0</v>
      </c>
      <c r="X152" s="48"/>
      <c r="Y152" s="58">
        <f t="shared" si="41"/>
        <v>0</v>
      </c>
      <c r="Z152" s="49" t="str">
        <f t="shared" si="42"/>
        <v/>
      </c>
      <c r="AA152" s="64"/>
    </row>
    <row r="153" spans="1:27">
      <c r="A153" s="62" t="str">
        <f t="shared" si="34"/>
        <v/>
      </c>
      <c r="B153" s="44"/>
      <c r="C153" s="46"/>
      <c r="D153" s="46"/>
      <c r="E153" s="50">
        <f t="shared" si="35"/>
        <v>0</v>
      </c>
      <c r="F153" s="48"/>
      <c r="G153" s="51">
        <f t="shared" si="36"/>
        <v>0</v>
      </c>
      <c r="H153" s="44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7"/>
        <v>0</v>
      </c>
      <c r="U153" s="51">
        <f t="shared" si="38"/>
        <v>0</v>
      </c>
      <c r="V153" s="51">
        <f t="shared" si="39"/>
        <v>0</v>
      </c>
      <c r="W153" s="52">
        <f t="shared" si="40"/>
        <v>0</v>
      </c>
      <c r="X153" s="48"/>
      <c r="Y153" s="58">
        <f t="shared" si="41"/>
        <v>0</v>
      </c>
      <c r="Z153" s="49" t="str">
        <f t="shared" si="42"/>
        <v/>
      </c>
      <c r="AA153" s="64"/>
    </row>
    <row r="154" spans="1:27">
      <c r="A154" s="62" t="str">
        <f t="shared" si="34"/>
        <v/>
      </c>
      <c r="B154" s="44"/>
      <c r="C154" s="46"/>
      <c r="D154" s="46"/>
      <c r="E154" s="50">
        <f t="shared" si="35"/>
        <v>0</v>
      </c>
      <c r="F154" s="48"/>
      <c r="G154" s="51">
        <f t="shared" si="36"/>
        <v>0</v>
      </c>
      <c r="H154" s="44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7"/>
        <v>0</v>
      </c>
      <c r="U154" s="51">
        <f t="shared" si="38"/>
        <v>0</v>
      </c>
      <c r="V154" s="51">
        <f t="shared" si="39"/>
        <v>0</v>
      </c>
      <c r="W154" s="52">
        <f t="shared" si="40"/>
        <v>0</v>
      </c>
      <c r="X154" s="48"/>
      <c r="Y154" s="58">
        <f t="shared" si="41"/>
        <v>0</v>
      </c>
      <c r="Z154" s="49" t="str">
        <f t="shared" si="42"/>
        <v/>
      </c>
      <c r="AA154" s="64"/>
    </row>
    <row r="155" spans="1:27">
      <c r="A155" s="62" t="str">
        <f t="shared" si="34"/>
        <v/>
      </c>
      <c r="B155" s="44"/>
      <c r="C155" s="46"/>
      <c r="D155" s="46"/>
      <c r="E155" s="50">
        <f t="shared" si="35"/>
        <v>0</v>
      </c>
      <c r="F155" s="48"/>
      <c r="G155" s="51">
        <f t="shared" si="36"/>
        <v>0</v>
      </c>
      <c r="H155" s="44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7"/>
        <v>0</v>
      </c>
      <c r="U155" s="51">
        <f t="shared" si="38"/>
        <v>0</v>
      </c>
      <c r="V155" s="51">
        <f t="shared" si="39"/>
        <v>0</v>
      </c>
      <c r="W155" s="52">
        <f t="shared" si="40"/>
        <v>0</v>
      </c>
      <c r="X155" s="48"/>
      <c r="Y155" s="58">
        <f t="shared" si="41"/>
        <v>0</v>
      </c>
      <c r="Z155" s="49" t="str">
        <f t="shared" si="42"/>
        <v/>
      </c>
      <c r="AA155" s="64"/>
    </row>
    <row r="156" spans="1:27">
      <c r="A156" s="62" t="str">
        <f t="shared" si="34"/>
        <v/>
      </c>
      <c r="B156" s="44"/>
      <c r="C156" s="46"/>
      <c r="D156" s="46"/>
      <c r="E156" s="50">
        <f t="shared" si="35"/>
        <v>0</v>
      </c>
      <c r="F156" s="48"/>
      <c r="G156" s="51">
        <f t="shared" si="36"/>
        <v>0</v>
      </c>
      <c r="H156" s="44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7"/>
        <v>0</v>
      </c>
      <c r="U156" s="51">
        <f t="shared" si="38"/>
        <v>0</v>
      </c>
      <c r="V156" s="51">
        <f t="shared" si="39"/>
        <v>0</v>
      </c>
      <c r="W156" s="52">
        <f t="shared" si="40"/>
        <v>0</v>
      </c>
      <c r="X156" s="48"/>
      <c r="Y156" s="58">
        <f t="shared" si="41"/>
        <v>0</v>
      </c>
      <c r="Z156" s="49" t="str">
        <f t="shared" si="42"/>
        <v/>
      </c>
      <c r="AA156" s="64"/>
    </row>
    <row r="157" spans="1:27">
      <c r="A157" s="62" t="str">
        <f t="shared" si="34"/>
        <v/>
      </c>
      <c r="B157" s="44"/>
      <c r="C157" s="46"/>
      <c r="D157" s="46"/>
      <c r="E157" s="50">
        <f t="shared" si="35"/>
        <v>0</v>
      </c>
      <c r="F157" s="48"/>
      <c r="G157" s="51">
        <f t="shared" si="36"/>
        <v>0</v>
      </c>
      <c r="H157" s="44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7"/>
        <v>0</v>
      </c>
      <c r="U157" s="51">
        <f t="shared" si="38"/>
        <v>0</v>
      </c>
      <c r="V157" s="51">
        <f t="shared" si="39"/>
        <v>0</v>
      </c>
      <c r="W157" s="52">
        <f t="shared" si="40"/>
        <v>0</v>
      </c>
      <c r="X157" s="48"/>
      <c r="Y157" s="58">
        <f t="shared" si="41"/>
        <v>0</v>
      </c>
      <c r="Z157" s="49" t="str">
        <f t="shared" si="42"/>
        <v/>
      </c>
      <c r="AA157" s="64"/>
    </row>
    <row r="158" spans="1:27">
      <c r="A158" s="62" t="str">
        <f t="shared" si="34"/>
        <v/>
      </c>
      <c r="B158" s="44"/>
      <c r="C158" s="46"/>
      <c r="D158" s="46"/>
      <c r="E158" s="50">
        <f t="shared" si="35"/>
        <v>0</v>
      </c>
      <c r="F158" s="48"/>
      <c r="G158" s="51">
        <f t="shared" si="36"/>
        <v>0</v>
      </c>
      <c r="H158" s="44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7"/>
        <v>0</v>
      </c>
      <c r="U158" s="51">
        <f t="shared" si="38"/>
        <v>0</v>
      </c>
      <c r="V158" s="51">
        <f t="shared" si="39"/>
        <v>0</v>
      </c>
      <c r="W158" s="52">
        <f t="shared" si="40"/>
        <v>0</v>
      </c>
      <c r="X158" s="48"/>
      <c r="Y158" s="58">
        <f t="shared" si="41"/>
        <v>0</v>
      </c>
      <c r="Z158" s="49" t="str">
        <f t="shared" si="42"/>
        <v/>
      </c>
      <c r="AA158" s="64"/>
    </row>
    <row r="159" spans="1:27">
      <c r="A159" s="62" t="str">
        <f t="shared" si="34"/>
        <v/>
      </c>
      <c r="B159" s="44"/>
      <c r="C159" s="46"/>
      <c r="D159" s="46"/>
      <c r="E159" s="50">
        <f t="shared" si="35"/>
        <v>0</v>
      </c>
      <c r="F159" s="48"/>
      <c r="G159" s="51">
        <f t="shared" si="36"/>
        <v>0</v>
      </c>
      <c r="H159" s="44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7"/>
        <v>0</v>
      </c>
      <c r="U159" s="51">
        <f t="shared" si="38"/>
        <v>0</v>
      </c>
      <c r="V159" s="51">
        <f t="shared" si="39"/>
        <v>0</v>
      </c>
      <c r="W159" s="52">
        <f t="shared" si="40"/>
        <v>0</v>
      </c>
      <c r="X159" s="48"/>
      <c r="Y159" s="58">
        <f t="shared" si="41"/>
        <v>0</v>
      </c>
      <c r="Z159" s="49" t="str">
        <f t="shared" si="42"/>
        <v/>
      </c>
      <c r="AA159" s="64"/>
    </row>
    <row r="160" spans="1:27">
      <c r="A160" s="62" t="str">
        <f t="shared" si="34"/>
        <v/>
      </c>
      <c r="B160" s="44"/>
      <c r="C160" s="46"/>
      <c r="D160" s="46"/>
      <c r="E160" s="50">
        <f t="shared" si="35"/>
        <v>0</v>
      </c>
      <c r="F160" s="48"/>
      <c r="G160" s="51">
        <f t="shared" si="36"/>
        <v>0</v>
      </c>
      <c r="H160" s="44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7"/>
        <v>0</v>
      </c>
      <c r="U160" s="51">
        <f t="shared" si="38"/>
        <v>0</v>
      </c>
      <c r="V160" s="51">
        <f t="shared" si="39"/>
        <v>0</v>
      </c>
      <c r="W160" s="52">
        <f t="shared" si="40"/>
        <v>0</v>
      </c>
      <c r="X160" s="48"/>
      <c r="Y160" s="58">
        <f t="shared" si="41"/>
        <v>0</v>
      </c>
      <c r="Z160" s="49" t="str">
        <f t="shared" si="42"/>
        <v/>
      </c>
      <c r="AA160" s="64"/>
    </row>
    <row r="161" spans="1:27">
      <c r="A161" s="62" t="str">
        <f t="shared" si="34"/>
        <v/>
      </c>
      <c r="B161" s="44"/>
      <c r="C161" s="46"/>
      <c r="D161" s="46"/>
      <c r="E161" s="50">
        <f t="shared" si="35"/>
        <v>0</v>
      </c>
      <c r="F161" s="48"/>
      <c r="G161" s="51">
        <f t="shared" si="36"/>
        <v>0</v>
      </c>
      <c r="H161" s="44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7"/>
        <v>0</v>
      </c>
      <c r="U161" s="51">
        <f t="shared" si="38"/>
        <v>0</v>
      </c>
      <c r="V161" s="51">
        <f t="shared" si="39"/>
        <v>0</v>
      </c>
      <c r="W161" s="52">
        <f t="shared" si="40"/>
        <v>0</v>
      </c>
      <c r="X161" s="48"/>
      <c r="Y161" s="58">
        <f t="shared" si="41"/>
        <v>0</v>
      </c>
      <c r="Z161" s="49" t="str">
        <f t="shared" si="42"/>
        <v/>
      </c>
      <c r="AA161" s="64"/>
    </row>
    <row r="162" spans="1:27">
      <c r="A162" s="62" t="str">
        <f t="shared" si="34"/>
        <v/>
      </c>
      <c r="B162" s="44"/>
      <c r="C162" s="46"/>
      <c r="D162" s="46"/>
      <c r="E162" s="50">
        <f t="shared" si="35"/>
        <v>0</v>
      </c>
      <c r="F162" s="48"/>
      <c r="G162" s="51">
        <f t="shared" si="36"/>
        <v>0</v>
      </c>
      <c r="H162" s="44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7"/>
        <v>0</v>
      </c>
      <c r="U162" s="51">
        <f t="shared" si="38"/>
        <v>0</v>
      </c>
      <c r="V162" s="51">
        <f t="shared" si="39"/>
        <v>0</v>
      </c>
      <c r="W162" s="52">
        <f t="shared" si="40"/>
        <v>0</v>
      </c>
      <c r="X162" s="48"/>
      <c r="Y162" s="58">
        <f t="shared" si="41"/>
        <v>0</v>
      </c>
      <c r="Z162" s="49" t="str">
        <f t="shared" si="42"/>
        <v/>
      </c>
      <c r="AA162" s="64"/>
    </row>
    <row r="163" spans="1:27">
      <c r="A163" s="62" t="str">
        <f t="shared" si="34"/>
        <v/>
      </c>
      <c r="B163" s="44"/>
      <c r="C163" s="46"/>
      <c r="D163" s="46"/>
      <c r="E163" s="50">
        <f t="shared" si="35"/>
        <v>0</v>
      </c>
      <c r="F163" s="48"/>
      <c r="G163" s="51">
        <f t="shared" si="36"/>
        <v>0</v>
      </c>
      <c r="H163" s="44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7"/>
        <v>0</v>
      </c>
      <c r="U163" s="51">
        <f t="shared" si="38"/>
        <v>0</v>
      </c>
      <c r="V163" s="51">
        <f t="shared" si="39"/>
        <v>0</v>
      </c>
      <c r="W163" s="52">
        <f t="shared" si="40"/>
        <v>0</v>
      </c>
      <c r="X163" s="48"/>
      <c r="Y163" s="58">
        <f t="shared" si="41"/>
        <v>0</v>
      </c>
      <c r="Z163" s="49" t="str">
        <f t="shared" si="42"/>
        <v/>
      </c>
      <c r="AA163" s="64"/>
    </row>
    <row r="164" spans="1:27">
      <c r="A164" s="62" t="str">
        <f t="shared" si="34"/>
        <v/>
      </c>
      <c r="B164" s="44"/>
      <c r="C164" s="46"/>
      <c r="D164" s="46"/>
      <c r="E164" s="50">
        <f t="shared" si="35"/>
        <v>0</v>
      </c>
      <c r="F164" s="48"/>
      <c r="G164" s="51">
        <f t="shared" si="36"/>
        <v>0</v>
      </c>
      <c r="H164" s="44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7"/>
        <v>0</v>
      </c>
      <c r="U164" s="51">
        <f t="shared" si="38"/>
        <v>0</v>
      </c>
      <c r="V164" s="51">
        <f t="shared" si="39"/>
        <v>0</v>
      </c>
      <c r="W164" s="52">
        <f t="shared" si="40"/>
        <v>0</v>
      </c>
      <c r="X164" s="48"/>
      <c r="Y164" s="58">
        <f t="shared" si="41"/>
        <v>0</v>
      </c>
      <c r="Z164" s="49" t="str">
        <f t="shared" si="42"/>
        <v/>
      </c>
      <c r="AA164" s="64"/>
    </row>
    <row r="165" spans="1:27">
      <c r="A165" s="62" t="str">
        <f t="shared" ref="A165:A196" si="43">IF(B165="","","LOC-"&amp;TEXT(ROW()-5,"000"))</f>
        <v/>
      </c>
      <c r="B165" s="44"/>
      <c r="C165" s="46"/>
      <c r="D165" s="46"/>
      <c r="E165" s="50">
        <f t="shared" ref="E165:E196" si="44">IF(OR(B165="",C165="",D165=""),0,MAX(0,D165-C165))</f>
        <v>0</v>
      </c>
      <c r="F165" s="48"/>
      <c r="G165" s="51">
        <f t="shared" ref="G165:G196" si="45">IF(OR(B165="",E165=0,F165=""),0,E165*F165)</f>
        <v>0</v>
      </c>
      <c r="H165" s="44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6">IF(OR(B165="",E165=0),0,S165/E165)</f>
        <v>0</v>
      </c>
      <c r="U165" s="51">
        <f t="shared" ref="U165:U196" si="47">IF(B165="",0,G165-S165)</f>
        <v>0</v>
      </c>
      <c r="V165" s="51">
        <f t="shared" ref="V165:V196" si="48">IF(OR(B165="",E165=0),0,U165/E165)</f>
        <v>0</v>
      </c>
      <c r="W165" s="52">
        <f t="shared" ref="W165:W196" si="49">IF(OR(B165="",G165=0),0,U165/G165)</f>
        <v>0</v>
      </c>
      <c r="X165" s="48"/>
      <c r="Y165" s="58">
        <f t="shared" si="41"/>
        <v>0</v>
      </c>
      <c r="Z165" s="49" t="str">
        <f t="shared" si="42"/>
        <v/>
      </c>
      <c r="AA165" s="64"/>
    </row>
    <row r="166" spans="1:27">
      <c r="A166" s="62" t="str">
        <f t="shared" si="43"/>
        <v/>
      </c>
      <c r="B166" s="44"/>
      <c r="C166" s="46"/>
      <c r="D166" s="46"/>
      <c r="E166" s="50">
        <f t="shared" si="44"/>
        <v>0</v>
      </c>
      <c r="F166" s="48"/>
      <c r="G166" s="51">
        <f t="shared" si="45"/>
        <v>0</v>
      </c>
      <c r="H166" s="44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6"/>
        <v>0</v>
      </c>
      <c r="U166" s="51">
        <f t="shared" si="47"/>
        <v>0</v>
      </c>
      <c r="V166" s="51">
        <f t="shared" si="48"/>
        <v>0</v>
      </c>
      <c r="W166" s="52">
        <f t="shared" si="49"/>
        <v>0</v>
      </c>
      <c r="X166" s="48"/>
      <c r="Y166" s="58">
        <f t="shared" si="41"/>
        <v>0</v>
      </c>
      <c r="Z166" s="49" t="str">
        <f t="shared" ref="Z166:Z197" si="50">IF(B166="","",IF(COUNTIFS($C$6:$C$204,"&lt;"&amp;D166,$D$6:$D$204,"&gt;"&amp;C166,$I$6:$I$204,"&lt;&gt;Cancelada",$I$6:$I$204,"&lt;&gt;Consulta")&gt;1,"CONFLITO","OK"))</f>
        <v/>
      </c>
      <c r="AA166" s="64"/>
    </row>
    <row r="167" spans="1:27">
      <c r="A167" s="62" t="str">
        <f t="shared" si="43"/>
        <v/>
      </c>
      <c r="B167" s="44"/>
      <c r="C167" s="46"/>
      <c r="D167" s="46"/>
      <c r="E167" s="50">
        <f t="shared" si="44"/>
        <v>0</v>
      </c>
      <c r="F167" s="48"/>
      <c r="G167" s="51">
        <f t="shared" si="45"/>
        <v>0</v>
      </c>
      <c r="H167" s="44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6"/>
        <v>0</v>
      </c>
      <c r="U167" s="51">
        <f t="shared" si="47"/>
        <v>0</v>
      </c>
      <c r="V167" s="51">
        <f t="shared" si="48"/>
        <v>0</v>
      </c>
      <c r="W167" s="52">
        <f t="shared" si="49"/>
        <v>0</v>
      </c>
      <c r="X167" s="48"/>
      <c r="Y167" s="58">
        <f t="shared" si="41"/>
        <v>0</v>
      </c>
      <c r="Z167" s="49" t="str">
        <f t="shared" si="50"/>
        <v/>
      </c>
      <c r="AA167" s="64"/>
    </row>
    <row r="168" spans="1:27">
      <c r="A168" s="62" t="str">
        <f t="shared" si="43"/>
        <v/>
      </c>
      <c r="B168" s="44"/>
      <c r="C168" s="46"/>
      <c r="D168" s="46"/>
      <c r="E168" s="50">
        <f t="shared" si="44"/>
        <v>0</v>
      </c>
      <c r="F168" s="48"/>
      <c r="G168" s="51">
        <f t="shared" si="45"/>
        <v>0</v>
      </c>
      <c r="H168" s="44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6"/>
        <v>0</v>
      </c>
      <c r="U168" s="51">
        <f t="shared" si="47"/>
        <v>0</v>
      </c>
      <c r="V168" s="51">
        <f t="shared" si="48"/>
        <v>0</v>
      </c>
      <c r="W168" s="52">
        <f t="shared" si="49"/>
        <v>0</v>
      </c>
      <c r="X168" s="48"/>
      <c r="Y168" s="58">
        <f t="shared" si="41"/>
        <v>0</v>
      </c>
      <c r="Z168" s="49" t="str">
        <f t="shared" si="50"/>
        <v/>
      </c>
      <c r="AA168" s="64"/>
    </row>
    <row r="169" spans="1:27">
      <c r="A169" s="62" t="str">
        <f t="shared" si="43"/>
        <v/>
      </c>
      <c r="B169" s="44"/>
      <c r="C169" s="46"/>
      <c r="D169" s="46"/>
      <c r="E169" s="50">
        <f t="shared" si="44"/>
        <v>0</v>
      </c>
      <c r="F169" s="48"/>
      <c r="G169" s="51">
        <f t="shared" si="45"/>
        <v>0</v>
      </c>
      <c r="H169" s="44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6"/>
        <v>0</v>
      </c>
      <c r="U169" s="51">
        <f t="shared" si="47"/>
        <v>0</v>
      </c>
      <c r="V169" s="51">
        <f t="shared" si="48"/>
        <v>0</v>
      </c>
      <c r="W169" s="52">
        <f t="shared" si="49"/>
        <v>0</v>
      </c>
      <c r="X169" s="48"/>
      <c r="Y169" s="58">
        <f t="shared" si="41"/>
        <v>0</v>
      </c>
      <c r="Z169" s="49" t="str">
        <f t="shared" si="50"/>
        <v/>
      </c>
      <c r="AA169" s="64"/>
    </row>
    <row r="170" spans="1:27">
      <c r="A170" s="62" t="str">
        <f t="shared" si="43"/>
        <v/>
      </c>
      <c r="B170" s="44"/>
      <c r="C170" s="46"/>
      <c r="D170" s="46"/>
      <c r="E170" s="50">
        <f t="shared" si="44"/>
        <v>0</v>
      </c>
      <c r="F170" s="48"/>
      <c r="G170" s="51">
        <f t="shared" si="45"/>
        <v>0</v>
      </c>
      <c r="H170" s="44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6"/>
        <v>0</v>
      </c>
      <c r="U170" s="51">
        <f t="shared" si="47"/>
        <v>0</v>
      </c>
      <c r="V170" s="51">
        <f t="shared" si="48"/>
        <v>0</v>
      </c>
      <c r="W170" s="52">
        <f t="shared" si="49"/>
        <v>0</v>
      </c>
      <c r="X170" s="48"/>
      <c r="Y170" s="58">
        <f t="shared" si="41"/>
        <v>0</v>
      </c>
      <c r="Z170" s="49" t="str">
        <f t="shared" si="50"/>
        <v/>
      </c>
      <c r="AA170" s="64"/>
    </row>
    <row r="171" spans="1:27">
      <c r="A171" s="62" t="str">
        <f t="shared" si="43"/>
        <v/>
      </c>
      <c r="B171" s="44"/>
      <c r="C171" s="46"/>
      <c r="D171" s="46"/>
      <c r="E171" s="50">
        <f t="shared" si="44"/>
        <v>0</v>
      </c>
      <c r="F171" s="48"/>
      <c r="G171" s="51">
        <f t="shared" si="45"/>
        <v>0</v>
      </c>
      <c r="H171" s="44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6"/>
        <v>0</v>
      </c>
      <c r="U171" s="51">
        <f t="shared" si="47"/>
        <v>0</v>
      </c>
      <c r="V171" s="51">
        <f t="shared" si="48"/>
        <v>0</v>
      </c>
      <c r="W171" s="52">
        <f t="shared" si="49"/>
        <v>0</v>
      </c>
      <c r="X171" s="48"/>
      <c r="Y171" s="58">
        <f t="shared" si="41"/>
        <v>0</v>
      </c>
      <c r="Z171" s="49" t="str">
        <f t="shared" si="50"/>
        <v/>
      </c>
      <c r="AA171" s="64"/>
    </row>
    <row r="172" spans="1:27">
      <c r="A172" s="62" t="str">
        <f t="shared" si="43"/>
        <v/>
      </c>
      <c r="B172" s="44"/>
      <c r="C172" s="46"/>
      <c r="D172" s="46"/>
      <c r="E172" s="50">
        <f t="shared" si="44"/>
        <v>0</v>
      </c>
      <c r="F172" s="48"/>
      <c r="G172" s="51">
        <f t="shared" si="45"/>
        <v>0</v>
      </c>
      <c r="H172" s="44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6"/>
        <v>0</v>
      </c>
      <c r="U172" s="51">
        <f t="shared" si="47"/>
        <v>0</v>
      </c>
      <c r="V172" s="51">
        <f t="shared" si="48"/>
        <v>0</v>
      </c>
      <c r="W172" s="52">
        <f t="shared" si="49"/>
        <v>0</v>
      </c>
      <c r="X172" s="48"/>
      <c r="Y172" s="58">
        <f t="shared" si="41"/>
        <v>0</v>
      </c>
      <c r="Z172" s="49" t="str">
        <f t="shared" si="50"/>
        <v/>
      </c>
      <c r="AA172" s="64"/>
    </row>
    <row r="173" spans="1:27">
      <c r="A173" s="62" t="str">
        <f t="shared" si="43"/>
        <v/>
      </c>
      <c r="B173" s="44"/>
      <c r="C173" s="46"/>
      <c r="D173" s="46"/>
      <c r="E173" s="50">
        <f t="shared" si="44"/>
        <v>0</v>
      </c>
      <c r="F173" s="48"/>
      <c r="G173" s="51">
        <f t="shared" si="45"/>
        <v>0</v>
      </c>
      <c r="H173" s="44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6"/>
        <v>0</v>
      </c>
      <c r="U173" s="51">
        <f t="shared" si="47"/>
        <v>0</v>
      </c>
      <c r="V173" s="51">
        <f t="shared" si="48"/>
        <v>0</v>
      </c>
      <c r="W173" s="52">
        <f t="shared" si="49"/>
        <v>0</v>
      </c>
      <c r="X173" s="48"/>
      <c r="Y173" s="58">
        <f t="shared" si="41"/>
        <v>0</v>
      </c>
      <c r="Z173" s="49" t="str">
        <f t="shared" si="50"/>
        <v/>
      </c>
      <c r="AA173" s="64"/>
    </row>
    <row r="174" spans="1:27">
      <c r="A174" s="62" t="str">
        <f t="shared" si="43"/>
        <v/>
      </c>
      <c r="B174" s="44"/>
      <c r="C174" s="46"/>
      <c r="D174" s="46"/>
      <c r="E174" s="50">
        <f t="shared" si="44"/>
        <v>0</v>
      </c>
      <c r="F174" s="48"/>
      <c r="G174" s="51">
        <f t="shared" si="45"/>
        <v>0</v>
      </c>
      <c r="H174" s="44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6"/>
        <v>0</v>
      </c>
      <c r="U174" s="51">
        <f t="shared" si="47"/>
        <v>0</v>
      </c>
      <c r="V174" s="51">
        <f t="shared" si="48"/>
        <v>0</v>
      </c>
      <c r="W174" s="52">
        <f t="shared" si="49"/>
        <v>0</v>
      </c>
      <c r="X174" s="48"/>
      <c r="Y174" s="58">
        <f t="shared" si="41"/>
        <v>0</v>
      </c>
      <c r="Z174" s="49" t="str">
        <f t="shared" si="50"/>
        <v/>
      </c>
      <c r="AA174" s="64"/>
    </row>
    <row r="175" spans="1:27">
      <c r="A175" s="62" t="str">
        <f t="shared" si="43"/>
        <v/>
      </c>
      <c r="B175" s="44"/>
      <c r="C175" s="46"/>
      <c r="D175" s="46"/>
      <c r="E175" s="50">
        <f t="shared" si="44"/>
        <v>0</v>
      </c>
      <c r="F175" s="48"/>
      <c r="G175" s="51">
        <f t="shared" si="45"/>
        <v>0</v>
      </c>
      <c r="H175" s="44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6"/>
        <v>0</v>
      </c>
      <c r="U175" s="51">
        <f t="shared" si="47"/>
        <v>0</v>
      </c>
      <c r="V175" s="51">
        <f t="shared" si="48"/>
        <v>0</v>
      </c>
      <c r="W175" s="52">
        <f t="shared" si="49"/>
        <v>0</v>
      </c>
      <c r="X175" s="48"/>
      <c r="Y175" s="58">
        <f t="shared" si="41"/>
        <v>0</v>
      </c>
      <c r="Z175" s="49" t="str">
        <f t="shared" si="50"/>
        <v/>
      </c>
      <c r="AA175" s="64"/>
    </row>
    <row r="176" spans="1:27">
      <c r="A176" s="62" t="str">
        <f t="shared" si="43"/>
        <v/>
      </c>
      <c r="B176" s="44"/>
      <c r="C176" s="46"/>
      <c r="D176" s="46"/>
      <c r="E176" s="50">
        <f t="shared" si="44"/>
        <v>0</v>
      </c>
      <c r="F176" s="48"/>
      <c r="G176" s="51">
        <f t="shared" si="45"/>
        <v>0</v>
      </c>
      <c r="H176" s="44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6"/>
        <v>0</v>
      </c>
      <c r="U176" s="51">
        <f t="shared" si="47"/>
        <v>0</v>
      </c>
      <c r="V176" s="51">
        <f t="shared" si="48"/>
        <v>0</v>
      </c>
      <c r="W176" s="52">
        <f t="shared" si="49"/>
        <v>0</v>
      </c>
      <c r="X176" s="48"/>
      <c r="Y176" s="58">
        <f t="shared" si="41"/>
        <v>0</v>
      </c>
      <c r="Z176" s="49" t="str">
        <f t="shared" si="50"/>
        <v/>
      </c>
      <c r="AA176" s="64"/>
    </row>
    <row r="177" spans="1:27">
      <c r="A177" s="62" t="str">
        <f t="shared" si="43"/>
        <v/>
      </c>
      <c r="B177" s="44"/>
      <c r="C177" s="46"/>
      <c r="D177" s="46"/>
      <c r="E177" s="50">
        <f t="shared" si="44"/>
        <v>0</v>
      </c>
      <c r="F177" s="48"/>
      <c r="G177" s="51">
        <f t="shared" si="45"/>
        <v>0</v>
      </c>
      <c r="H177" s="44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6"/>
        <v>0</v>
      </c>
      <c r="U177" s="51">
        <f t="shared" si="47"/>
        <v>0</v>
      </c>
      <c r="V177" s="51">
        <f t="shared" si="48"/>
        <v>0</v>
      </c>
      <c r="W177" s="52">
        <f t="shared" si="49"/>
        <v>0</v>
      </c>
      <c r="X177" s="48"/>
      <c r="Y177" s="58">
        <f t="shared" si="41"/>
        <v>0</v>
      </c>
      <c r="Z177" s="49" t="str">
        <f t="shared" si="50"/>
        <v/>
      </c>
      <c r="AA177" s="64"/>
    </row>
    <row r="178" spans="1:27">
      <c r="A178" s="62" t="str">
        <f t="shared" si="43"/>
        <v/>
      </c>
      <c r="B178" s="44"/>
      <c r="C178" s="46"/>
      <c r="D178" s="46"/>
      <c r="E178" s="50">
        <f t="shared" si="44"/>
        <v>0</v>
      </c>
      <c r="F178" s="48"/>
      <c r="G178" s="51">
        <f t="shared" si="45"/>
        <v>0</v>
      </c>
      <c r="H178" s="44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6"/>
        <v>0</v>
      </c>
      <c r="U178" s="51">
        <f t="shared" si="47"/>
        <v>0</v>
      </c>
      <c r="V178" s="51">
        <f t="shared" si="48"/>
        <v>0</v>
      </c>
      <c r="W178" s="52">
        <f t="shared" si="49"/>
        <v>0</v>
      </c>
      <c r="X178" s="48"/>
      <c r="Y178" s="58">
        <f t="shared" si="41"/>
        <v>0</v>
      </c>
      <c r="Z178" s="49" t="str">
        <f t="shared" si="50"/>
        <v/>
      </c>
      <c r="AA178" s="64"/>
    </row>
    <row r="179" spans="1:27">
      <c r="A179" s="62" t="str">
        <f t="shared" si="43"/>
        <v/>
      </c>
      <c r="B179" s="44"/>
      <c r="C179" s="46"/>
      <c r="D179" s="46"/>
      <c r="E179" s="50">
        <f t="shared" si="44"/>
        <v>0</v>
      </c>
      <c r="F179" s="48"/>
      <c r="G179" s="51">
        <f t="shared" si="45"/>
        <v>0</v>
      </c>
      <c r="H179" s="44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6"/>
        <v>0</v>
      </c>
      <c r="U179" s="51">
        <f t="shared" si="47"/>
        <v>0</v>
      </c>
      <c r="V179" s="51">
        <f t="shared" si="48"/>
        <v>0</v>
      </c>
      <c r="W179" s="52">
        <f t="shared" si="49"/>
        <v>0</v>
      </c>
      <c r="X179" s="48"/>
      <c r="Y179" s="58">
        <f t="shared" si="41"/>
        <v>0</v>
      </c>
      <c r="Z179" s="49" t="str">
        <f t="shared" si="50"/>
        <v/>
      </c>
      <c r="AA179" s="64"/>
    </row>
    <row r="180" spans="1:27">
      <c r="A180" s="62" t="str">
        <f t="shared" si="43"/>
        <v/>
      </c>
      <c r="B180" s="44"/>
      <c r="C180" s="46"/>
      <c r="D180" s="46"/>
      <c r="E180" s="50">
        <f t="shared" si="44"/>
        <v>0</v>
      </c>
      <c r="F180" s="48"/>
      <c r="G180" s="51">
        <f t="shared" si="45"/>
        <v>0</v>
      </c>
      <c r="H180" s="44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6"/>
        <v>0</v>
      </c>
      <c r="U180" s="51">
        <f t="shared" si="47"/>
        <v>0</v>
      </c>
      <c r="V180" s="51">
        <f t="shared" si="48"/>
        <v>0</v>
      </c>
      <c r="W180" s="52">
        <f t="shared" si="49"/>
        <v>0</v>
      </c>
      <c r="X180" s="48"/>
      <c r="Y180" s="58">
        <f t="shared" si="41"/>
        <v>0</v>
      </c>
      <c r="Z180" s="49" t="str">
        <f t="shared" si="50"/>
        <v/>
      </c>
      <c r="AA180" s="64"/>
    </row>
    <row r="181" spans="1:27">
      <c r="A181" s="62" t="str">
        <f t="shared" si="43"/>
        <v/>
      </c>
      <c r="B181" s="44"/>
      <c r="C181" s="46"/>
      <c r="D181" s="46"/>
      <c r="E181" s="50">
        <f t="shared" si="44"/>
        <v>0</v>
      </c>
      <c r="F181" s="48"/>
      <c r="G181" s="51">
        <f t="shared" si="45"/>
        <v>0</v>
      </c>
      <c r="H181" s="44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6"/>
        <v>0</v>
      </c>
      <c r="U181" s="51">
        <f t="shared" si="47"/>
        <v>0</v>
      </c>
      <c r="V181" s="51">
        <f t="shared" si="48"/>
        <v>0</v>
      </c>
      <c r="W181" s="52">
        <f t="shared" si="49"/>
        <v>0</v>
      </c>
      <c r="X181" s="48"/>
      <c r="Y181" s="58">
        <f t="shared" si="41"/>
        <v>0</v>
      </c>
      <c r="Z181" s="49" t="str">
        <f t="shared" si="50"/>
        <v/>
      </c>
      <c r="AA181" s="64"/>
    </row>
    <row r="182" spans="1:27">
      <c r="A182" s="62" t="str">
        <f t="shared" si="43"/>
        <v/>
      </c>
      <c r="B182" s="44"/>
      <c r="C182" s="46"/>
      <c r="D182" s="46"/>
      <c r="E182" s="50">
        <f t="shared" si="44"/>
        <v>0</v>
      </c>
      <c r="F182" s="48"/>
      <c r="G182" s="51">
        <f t="shared" si="45"/>
        <v>0</v>
      </c>
      <c r="H182" s="44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6"/>
        <v>0</v>
      </c>
      <c r="U182" s="51">
        <f t="shared" si="47"/>
        <v>0</v>
      </c>
      <c r="V182" s="51">
        <f t="shared" si="48"/>
        <v>0</v>
      </c>
      <c r="W182" s="52">
        <f t="shared" si="49"/>
        <v>0</v>
      </c>
      <c r="X182" s="48"/>
      <c r="Y182" s="58">
        <f t="shared" si="41"/>
        <v>0</v>
      </c>
      <c r="Z182" s="49" t="str">
        <f t="shared" si="50"/>
        <v/>
      </c>
      <c r="AA182" s="64"/>
    </row>
    <row r="183" spans="1:27">
      <c r="A183" s="62" t="str">
        <f t="shared" si="43"/>
        <v/>
      </c>
      <c r="B183" s="44"/>
      <c r="C183" s="46"/>
      <c r="D183" s="46"/>
      <c r="E183" s="50">
        <f t="shared" si="44"/>
        <v>0</v>
      </c>
      <c r="F183" s="48"/>
      <c r="G183" s="51">
        <f t="shared" si="45"/>
        <v>0</v>
      </c>
      <c r="H183" s="44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6"/>
        <v>0</v>
      </c>
      <c r="U183" s="51">
        <f t="shared" si="47"/>
        <v>0</v>
      </c>
      <c r="V183" s="51">
        <f t="shared" si="48"/>
        <v>0</v>
      </c>
      <c r="W183" s="52">
        <f t="shared" si="49"/>
        <v>0</v>
      </c>
      <c r="X183" s="48"/>
      <c r="Y183" s="58">
        <f t="shared" si="41"/>
        <v>0</v>
      </c>
      <c r="Z183" s="49" t="str">
        <f t="shared" si="50"/>
        <v/>
      </c>
      <c r="AA183" s="64"/>
    </row>
    <row r="184" spans="1:27">
      <c r="A184" s="62" t="str">
        <f t="shared" si="43"/>
        <v/>
      </c>
      <c r="B184" s="44"/>
      <c r="C184" s="46"/>
      <c r="D184" s="46"/>
      <c r="E184" s="50">
        <f t="shared" si="44"/>
        <v>0</v>
      </c>
      <c r="F184" s="48"/>
      <c r="G184" s="51">
        <f t="shared" si="45"/>
        <v>0</v>
      </c>
      <c r="H184" s="44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6"/>
        <v>0</v>
      </c>
      <c r="U184" s="51">
        <f t="shared" si="47"/>
        <v>0</v>
      </c>
      <c r="V184" s="51">
        <f t="shared" si="48"/>
        <v>0</v>
      </c>
      <c r="W184" s="52">
        <f t="shared" si="49"/>
        <v>0</v>
      </c>
      <c r="X184" s="48"/>
      <c r="Y184" s="58">
        <f t="shared" si="41"/>
        <v>0</v>
      </c>
      <c r="Z184" s="49" t="str">
        <f t="shared" si="50"/>
        <v/>
      </c>
      <c r="AA184" s="64"/>
    </row>
    <row r="185" spans="1:27">
      <c r="A185" s="62" t="str">
        <f t="shared" si="43"/>
        <v/>
      </c>
      <c r="B185" s="44"/>
      <c r="C185" s="46"/>
      <c r="D185" s="46"/>
      <c r="E185" s="50">
        <f t="shared" si="44"/>
        <v>0</v>
      </c>
      <c r="F185" s="48"/>
      <c r="G185" s="51">
        <f t="shared" si="45"/>
        <v>0</v>
      </c>
      <c r="H185" s="44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6"/>
        <v>0</v>
      </c>
      <c r="U185" s="51">
        <f t="shared" si="47"/>
        <v>0</v>
      </c>
      <c r="V185" s="51">
        <f t="shared" si="48"/>
        <v>0</v>
      </c>
      <c r="W185" s="52">
        <f t="shared" si="49"/>
        <v>0</v>
      </c>
      <c r="X185" s="48"/>
      <c r="Y185" s="58">
        <f t="shared" si="41"/>
        <v>0</v>
      </c>
      <c r="Z185" s="49" t="str">
        <f t="shared" si="50"/>
        <v/>
      </c>
      <c r="AA185" s="64"/>
    </row>
    <row r="186" spans="1:27">
      <c r="A186" s="62" t="str">
        <f t="shared" si="43"/>
        <v/>
      </c>
      <c r="B186" s="44"/>
      <c r="C186" s="46"/>
      <c r="D186" s="46"/>
      <c r="E186" s="50">
        <f t="shared" si="44"/>
        <v>0</v>
      </c>
      <c r="F186" s="48"/>
      <c r="G186" s="51">
        <f t="shared" si="45"/>
        <v>0</v>
      </c>
      <c r="H186" s="44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6"/>
        <v>0</v>
      </c>
      <c r="U186" s="51">
        <f t="shared" si="47"/>
        <v>0</v>
      </c>
      <c r="V186" s="51">
        <f t="shared" si="48"/>
        <v>0</v>
      </c>
      <c r="W186" s="52">
        <f t="shared" si="49"/>
        <v>0</v>
      </c>
      <c r="X186" s="48"/>
      <c r="Y186" s="58">
        <f t="shared" si="41"/>
        <v>0</v>
      </c>
      <c r="Z186" s="49" t="str">
        <f t="shared" si="50"/>
        <v/>
      </c>
      <c r="AA186" s="64"/>
    </row>
    <row r="187" spans="1:27">
      <c r="A187" s="62" t="str">
        <f t="shared" si="43"/>
        <v/>
      </c>
      <c r="B187" s="44"/>
      <c r="C187" s="46"/>
      <c r="D187" s="46"/>
      <c r="E187" s="50">
        <f t="shared" si="44"/>
        <v>0</v>
      </c>
      <c r="F187" s="48"/>
      <c r="G187" s="51">
        <f t="shared" si="45"/>
        <v>0</v>
      </c>
      <c r="H187" s="44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6"/>
        <v>0</v>
      </c>
      <c r="U187" s="51">
        <f t="shared" si="47"/>
        <v>0</v>
      </c>
      <c r="V187" s="51">
        <f t="shared" si="48"/>
        <v>0</v>
      </c>
      <c r="W187" s="52">
        <f t="shared" si="49"/>
        <v>0</v>
      </c>
      <c r="X187" s="48"/>
      <c r="Y187" s="58">
        <f t="shared" si="41"/>
        <v>0</v>
      </c>
      <c r="Z187" s="49" t="str">
        <f t="shared" si="50"/>
        <v/>
      </c>
      <c r="AA187" s="64"/>
    </row>
    <row r="188" spans="1:27">
      <c r="A188" s="62" t="str">
        <f t="shared" si="43"/>
        <v/>
      </c>
      <c r="B188" s="44"/>
      <c r="C188" s="46"/>
      <c r="D188" s="46"/>
      <c r="E188" s="50">
        <f t="shared" si="44"/>
        <v>0</v>
      </c>
      <c r="F188" s="48"/>
      <c r="G188" s="51">
        <f t="shared" si="45"/>
        <v>0</v>
      </c>
      <c r="H188" s="44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6"/>
        <v>0</v>
      </c>
      <c r="U188" s="51">
        <f t="shared" si="47"/>
        <v>0</v>
      </c>
      <c r="V188" s="51">
        <f t="shared" si="48"/>
        <v>0</v>
      </c>
      <c r="W188" s="52">
        <f t="shared" si="49"/>
        <v>0</v>
      </c>
      <c r="X188" s="48"/>
      <c r="Y188" s="58">
        <f t="shared" si="41"/>
        <v>0</v>
      </c>
      <c r="Z188" s="49" t="str">
        <f t="shared" si="50"/>
        <v/>
      </c>
      <c r="AA188" s="64"/>
    </row>
    <row r="189" spans="1:27">
      <c r="A189" s="62" t="str">
        <f t="shared" si="43"/>
        <v/>
      </c>
      <c r="B189" s="44"/>
      <c r="C189" s="46"/>
      <c r="D189" s="46"/>
      <c r="E189" s="50">
        <f t="shared" si="44"/>
        <v>0</v>
      </c>
      <c r="F189" s="48"/>
      <c r="G189" s="51">
        <f t="shared" si="45"/>
        <v>0</v>
      </c>
      <c r="H189" s="44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6"/>
        <v>0</v>
      </c>
      <c r="U189" s="51">
        <f t="shared" si="47"/>
        <v>0</v>
      </c>
      <c r="V189" s="51">
        <f t="shared" si="48"/>
        <v>0</v>
      </c>
      <c r="W189" s="52">
        <f t="shared" si="49"/>
        <v>0</v>
      </c>
      <c r="X189" s="48"/>
      <c r="Y189" s="58">
        <f t="shared" si="41"/>
        <v>0</v>
      </c>
      <c r="Z189" s="49" t="str">
        <f t="shared" si="50"/>
        <v/>
      </c>
      <c r="AA189" s="64"/>
    </row>
    <row r="190" spans="1:27">
      <c r="A190" s="62" t="str">
        <f t="shared" si="43"/>
        <v/>
      </c>
      <c r="B190" s="44"/>
      <c r="C190" s="46"/>
      <c r="D190" s="46"/>
      <c r="E190" s="50">
        <f t="shared" si="44"/>
        <v>0</v>
      </c>
      <c r="F190" s="48"/>
      <c r="G190" s="51">
        <f t="shared" si="45"/>
        <v>0</v>
      </c>
      <c r="H190" s="44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6"/>
        <v>0</v>
      </c>
      <c r="U190" s="51">
        <f t="shared" si="47"/>
        <v>0</v>
      </c>
      <c r="V190" s="51">
        <f t="shared" si="48"/>
        <v>0</v>
      </c>
      <c r="W190" s="52">
        <f t="shared" si="49"/>
        <v>0</v>
      </c>
      <c r="X190" s="48"/>
      <c r="Y190" s="58">
        <f t="shared" si="41"/>
        <v>0</v>
      </c>
      <c r="Z190" s="49" t="str">
        <f t="shared" si="50"/>
        <v/>
      </c>
      <c r="AA190" s="64"/>
    </row>
    <row r="191" spans="1:27">
      <c r="A191" s="62" t="str">
        <f t="shared" si="43"/>
        <v/>
      </c>
      <c r="B191" s="44"/>
      <c r="C191" s="46"/>
      <c r="D191" s="46"/>
      <c r="E191" s="50">
        <f t="shared" si="44"/>
        <v>0</v>
      </c>
      <c r="F191" s="48"/>
      <c r="G191" s="51">
        <f t="shared" si="45"/>
        <v>0</v>
      </c>
      <c r="H191" s="44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6"/>
        <v>0</v>
      </c>
      <c r="U191" s="51">
        <f t="shared" si="47"/>
        <v>0</v>
      </c>
      <c r="V191" s="51">
        <f t="shared" si="48"/>
        <v>0</v>
      </c>
      <c r="W191" s="52">
        <f t="shared" si="49"/>
        <v>0</v>
      </c>
      <c r="X191" s="48"/>
      <c r="Y191" s="58">
        <f t="shared" si="41"/>
        <v>0</v>
      </c>
      <c r="Z191" s="49" t="str">
        <f t="shared" si="50"/>
        <v/>
      </c>
      <c r="AA191" s="64"/>
    </row>
    <row r="192" spans="1:27">
      <c r="A192" s="62" t="str">
        <f t="shared" si="43"/>
        <v/>
      </c>
      <c r="B192" s="44"/>
      <c r="C192" s="46"/>
      <c r="D192" s="46"/>
      <c r="E192" s="50">
        <f t="shared" si="44"/>
        <v>0</v>
      </c>
      <c r="F192" s="48"/>
      <c r="G192" s="51">
        <f t="shared" si="45"/>
        <v>0</v>
      </c>
      <c r="H192" s="44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6"/>
        <v>0</v>
      </c>
      <c r="U192" s="51">
        <f t="shared" si="47"/>
        <v>0</v>
      </c>
      <c r="V192" s="51">
        <f t="shared" si="48"/>
        <v>0</v>
      </c>
      <c r="W192" s="52">
        <f t="shared" si="49"/>
        <v>0</v>
      </c>
      <c r="X192" s="48"/>
      <c r="Y192" s="58">
        <f t="shared" si="41"/>
        <v>0</v>
      </c>
      <c r="Z192" s="49" t="str">
        <f t="shared" si="50"/>
        <v/>
      </c>
      <c r="AA192" s="64"/>
    </row>
    <row r="193" spans="1:27">
      <c r="A193" s="62" t="str">
        <f t="shared" si="43"/>
        <v/>
      </c>
      <c r="B193" s="44"/>
      <c r="C193" s="46"/>
      <c r="D193" s="46"/>
      <c r="E193" s="50">
        <f t="shared" si="44"/>
        <v>0</v>
      </c>
      <c r="F193" s="48"/>
      <c r="G193" s="51">
        <f t="shared" si="45"/>
        <v>0</v>
      </c>
      <c r="H193" s="44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6"/>
        <v>0</v>
      </c>
      <c r="U193" s="51">
        <f t="shared" si="47"/>
        <v>0</v>
      </c>
      <c r="V193" s="51">
        <f t="shared" si="48"/>
        <v>0</v>
      </c>
      <c r="W193" s="52">
        <f t="shared" si="49"/>
        <v>0</v>
      </c>
      <c r="X193" s="48"/>
      <c r="Y193" s="58">
        <f t="shared" si="41"/>
        <v>0</v>
      </c>
      <c r="Z193" s="49" t="str">
        <f t="shared" si="50"/>
        <v/>
      </c>
      <c r="AA193" s="64"/>
    </row>
    <row r="194" spans="1:27">
      <c r="A194" s="62" t="str">
        <f t="shared" si="43"/>
        <v/>
      </c>
      <c r="B194" s="44"/>
      <c r="C194" s="46"/>
      <c r="D194" s="46"/>
      <c r="E194" s="50">
        <f t="shared" si="44"/>
        <v>0</v>
      </c>
      <c r="F194" s="48"/>
      <c r="G194" s="51">
        <f t="shared" si="45"/>
        <v>0</v>
      </c>
      <c r="H194" s="44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6"/>
        <v>0</v>
      </c>
      <c r="U194" s="51">
        <f t="shared" si="47"/>
        <v>0</v>
      </c>
      <c r="V194" s="51">
        <f t="shared" si="48"/>
        <v>0</v>
      </c>
      <c r="W194" s="52">
        <f t="shared" si="49"/>
        <v>0</v>
      </c>
      <c r="X194" s="48"/>
      <c r="Y194" s="58">
        <f t="shared" si="41"/>
        <v>0</v>
      </c>
      <c r="Z194" s="49" t="str">
        <f t="shared" si="50"/>
        <v/>
      </c>
      <c r="AA194" s="64"/>
    </row>
    <row r="195" spans="1:27">
      <c r="A195" s="62" t="str">
        <f t="shared" si="43"/>
        <v/>
      </c>
      <c r="B195" s="44"/>
      <c r="C195" s="46"/>
      <c r="D195" s="46"/>
      <c r="E195" s="50">
        <f t="shared" si="44"/>
        <v>0</v>
      </c>
      <c r="F195" s="48"/>
      <c r="G195" s="51">
        <f t="shared" si="45"/>
        <v>0</v>
      </c>
      <c r="H195" s="44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6"/>
        <v>0</v>
      </c>
      <c r="U195" s="51">
        <f t="shared" si="47"/>
        <v>0</v>
      </c>
      <c r="V195" s="51">
        <f t="shared" si="48"/>
        <v>0</v>
      </c>
      <c r="W195" s="52">
        <f t="shared" si="49"/>
        <v>0</v>
      </c>
      <c r="X195" s="48"/>
      <c r="Y195" s="58">
        <f t="shared" si="41"/>
        <v>0</v>
      </c>
      <c r="Z195" s="49" t="str">
        <f t="shared" si="50"/>
        <v/>
      </c>
      <c r="AA195" s="64"/>
    </row>
    <row r="196" spans="1:27">
      <c r="A196" s="62" t="str">
        <f t="shared" si="43"/>
        <v/>
      </c>
      <c r="B196" s="44"/>
      <c r="C196" s="46"/>
      <c r="D196" s="46"/>
      <c r="E196" s="50">
        <f t="shared" si="44"/>
        <v>0</v>
      </c>
      <c r="F196" s="48"/>
      <c r="G196" s="51">
        <f t="shared" si="45"/>
        <v>0</v>
      </c>
      <c r="H196" s="44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6"/>
        <v>0</v>
      </c>
      <c r="U196" s="51">
        <f t="shared" si="47"/>
        <v>0</v>
      </c>
      <c r="V196" s="51">
        <f t="shared" si="48"/>
        <v>0</v>
      </c>
      <c r="W196" s="52">
        <f t="shared" si="49"/>
        <v>0</v>
      </c>
      <c r="X196" s="48"/>
      <c r="Y196" s="58">
        <f t="shared" si="41"/>
        <v>0</v>
      </c>
      <c r="Z196" s="49" t="str">
        <f t="shared" si="50"/>
        <v/>
      </c>
      <c r="AA196" s="64"/>
    </row>
    <row r="197" spans="1:27">
      <c r="A197" s="62" t="str">
        <f t="shared" ref="A197:A204" si="51">IF(B197="","","LOC-"&amp;TEXT(ROW()-5,"000"))</f>
        <v/>
      </c>
      <c r="B197" s="44"/>
      <c r="C197" s="46"/>
      <c r="D197" s="46"/>
      <c r="E197" s="50">
        <f t="shared" ref="E197:E204" si="52">IF(OR(B197="",C197="",D197=""),0,MAX(0,D197-C197))</f>
        <v>0</v>
      </c>
      <c r="F197" s="48"/>
      <c r="G197" s="51">
        <f t="shared" ref="G197:G204" si="53">IF(OR(B197="",E197=0,F197=""),0,E197*F197)</f>
        <v>0</v>
      </c>
      <c r="H197" s="44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4">IF(OR(B197="",E197=0),0,S197/E197)</f>
        <v>0</v>
      </c>
      <c r="U197" s="51">
        <f t="shared" ref="U197:U204" si="55">IF(B197="",0,G197-S197)</f>
        <v>0</v>
      </c>
      <c r="V197" s="51">
        <f t="shared" ref="V197:V204" si="56">IF(OR(B197="",E197=0),0,U197/E197)</f>
        <v>0</v>
      </c>
      <c r="W197" s="52">
        <f t="shared" ref="W197:W204" si="57">IF(OR(B197="",G197=0),0,U197/G197)</f>
        <v>0</v>
      </c>
      <c r="X197" s="48"/>
      <c r="Y197" s="58">
        <f t="shared" si="41"/>
        <v>0</v>
      </c>
      <c r="Z197" s="49" t="str">
        <f t="shared" si="50"/>
        <v/>
      </c>
      <c r="AA197" s="64"/>
    </row>
    <row r="198" spans="1:27">
      <c r="A198" s="62" t="str">
        <f t="shared" si="51"/>
        <v/>
      </c>
      <c r="B198" s="44"/>
      <c r="C198" s="46"/>
      <c r="D198" s="46"/>
      <c r="E198" s="50">
        <f t="shared" si="52"/>
        <v>0</v>
      </c>
      <c r="F198" s="48"/>
      <c r="G198" s="51">
        <f t="shared" si="53"/>
        <v>0</v>
      </c>
      <c r="H198" s="44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4"/>
        <v>0</v>
      </c>
      <c r="U198" s="51">
        <f t="shared" si="55"/>
        <v>0</v>
      </c>
      <c r="V198" s="51">
        <f t="shared" si="56"/>
        <v>0</v>
      </c>
      <c r="W198" s="52">
        <f t="shared" si="57"/>
        <v>0</v>
      </c>
      <c r="X198" s="48"/>
      <c r="Y198" s="58">
        <f t="shared" ref="Y198:Y204" si="58">IF(B198="",0,IFERROR(MAX(0,G198-X198),G198))</f>
        <v>0</v>
      </c>
      <c r="Z198" s="49" t="str">
        <f t="shared" ref="Z198:Z204" si="59">IF(B198="","",IF(COUNTIFS($C$6:$C$204,"&lt;"&amp;D198,$D$6:$D$204,"&gt;"&amp;C198,$I$6:$I$204,"&lt;&gt;Cancelada",$I$6:$I$204,"&lt;&gt;Consulta")&gt;1,"CONFLITO","OK"))</f>
        <v/>
      </c>
      <c r="AA198" s="64"/>
    </row>
    <row r="199" spans="1:27">
      <c r="A199" s="62" t="str">
        <f t="shared" si="51"/>
        <v/>
      </c>
      <c r="B199" s="44"/>
      <c r="C199" s="46"/>
      <c r="D199" s="46"/>
      <c r="E199" s="50">
        <f t="shared" si="52"/>
        <v>0</v>
      </c>
      <c r="F199" s="48"/>
      <c r="G199" s="51">
        <f t="shared" si="53"/>
        <v>0</v>
      </c>
      <c r="H199" s="44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4"/>
        <v>0</v>
      </c>
      <c r="U199" s="51">
        <f t="shared" si="55"/>
        <v>0</v>
      </c>
      <c r="V199" s="51">
        <f t="shared" si="56"/>
        <v>0</v>
      </c>
      <c r="W199" s="52">
        <f t="shared" si="57"/>
        <v>0</v>
      </c>
      <c r="X199" s="48"/>
      <c r="Y199" s="58">
        <f t="shared" si="58"/>
        <v>0</v>
      </c>
      <c r="Z199" s="49" t="str">
        <f t="shared" si="59"/>
        <v/>
      </c>
      <c r="AA199" s="64"/>
    </row>
    <row r="200" spans="1:27">
      <c r="A200" s="62" t="str">
        <f t="shared" si="51"/>
        <v/>
      </c>
      <c r="B200" s="44"/>
      <c r="C200" s="46"/>
      <c r="D200" s="46"/>
      <c r="E200" s="50">
        <f t="shared" si="52"/>
        <v>0</v>
      </c>
      <c r="F200" s="48"/>
      <c r="G200" s="51">
        <f t="shared" si="53"/>
        <v>0</v>
      </c>
      <c r="H200" s="44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4"/>
        <v>0</v>
      </c>
      <c r="U200" s="51">
        <f t="shared" si="55"/>
        <v>0</v>
      </c>
      <c r="V200" s="51">
        <f t="shared" si="56"/>
        <v>0</v>
      </c>
      <c r="W200" s="52">
        <f t="shared" si="57"/>
        <v>0</v>
      </c>
      <c r="X200" s="48"/>
      <c r="Y200" s="58">
        <f t="shared" si="58"/>
        <v>0</v>
      </c>
      <c r="Z200" s="49" t="str">
        <f t="shared" si="59"/>
        <v/>
      </c>
      <c r="AA200" s="64"/>
    </row>
    <row r="201" spans="1:27">
      <c r="A201" s="62" t="str">
        <f t="shared" si="51"/>
        <v/>
      </c>
      <c r="B201" s="44"/>
      <c r="C201" s="46"/>
      <c r="D201" s="46"/>
      <c r="E201" s="50">
        <f t="shared" si="52"/>
        <v>0</v>
      </c>
      <c r="F201" s="48"/>
      <c r="G201" s="51">
        <f t="shared" si="53"/>
        <v>0</v>
      </c>
      <c r="H201" s="44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4"/>
        <v>0</v>
      </c>
      <c r="U201" s="51">
        <f t="shared" si="55"/>
        <v>0</v>
      </c>
      <c r="V201" s="51">
        <f t="shared" si="56"/>
        <v>0</v>
      </c>
      <c r="W201" s="52">
        <f t="shared" si="57"/>
        <v>0</v>
      </c>
      <c r="X201" s="48"/>
      <c r="Y201" s="58">
        <f t="shared" si="58"/>
        <v>0</v>
      </c>
      <c r="Z201" s="49" t="str">
        <f t="shared" si="59"/>
        <v/>
      </c>
      <c r="AA201" s="64"/>
    </row>
    <row r="202" spans="1:27">
      <c r="A202" s="62" t="str">
        <f t="shared" si="51"/>
        <v/>
      </c>
      <c r="B202" s="44"/>
      <c r="C202" s="46"/>
      <c r="D202" s="46"/>
      <c r="E202" s="50">
        <f t="shared" si="52"/>
        <v>0</v>
      </c>
      <c r="F202" s="48"/>
      <c r="G202" s="51">
        <f t="shared" si="53"/>
        <v>0</v>
      </c>
      <c r="H202" s="44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4"/>
        <v>0</v>
      </c>
      <c r="U202" s="51">
        <f t="shared" si="55"/>
        <v>0</v>
      </c>
      <c r="V202" s="51">
        <f t="shared" si="56"/>
        <v>0</v>
      </c>
      <c r="W202" s="52">
        <f t="shared" si="57"/>
        <v>0</v>
      </c>
      <c r="X202" s="48"/>
      <c r="Y202" s="58">
        <f t="shared" si="58"/>
        <v>0</v>
      </c>
      <c r="Z202" s="49" t="str">
        <f t="shared" si="59"/>
        <v/>
      </c>
      <c r="AA202" s="64"/>
    </row>
    <row r="203" spans="1:27">
      <c r="A203" s="62" t="str">
        <f t="shared" si="51"/>
        <v/>
      </c>
      <c r="B203" s="44"/>
      <c r="C203" s="46"/>
      <c r="D203" s="46"/>
      <c r="E203" s="50">
        <f t="shared" si="52"/>
        <v>0</v>
      </c>
      <c r="F203" s="48"/>
      <c r="G203" s="51">
        <f t="shared" si="53"/>
        <v>0</v>
      </c>
      <c r="H203" s="44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4"/>
        <v>0</v>
      </c>
      <c r="U203" s="51">
        <f t="shared" si="55"/>
        <v>0</v>
      </c>
      <c r="V203" s="51">
        <f t="shared" si="56"/>
        <v>0</v>
      </c>
      <c r="W203" s="52">
        <f t="shared" si="57"/>
        <v>0</v>
      </c>
      <c r="X203" s="48"/>
      <c r="Y203" s="58">
        <f t="shared" si="58"/>
        <v>0</v>
      </c>
      <c r="Z203" s="49" t="str">
        <f t="shared" si="59"/>
        <v/>
      </c>
      <c r="AA203" s="64"/>
    </row>
    <row r="204" spans="1:27">
      <c r="A204" s="65" t="str">
        <f t="shared" si="51"/>
        <v/>
      </c>
      <c r="B204" s="66"/>
      <c r="C204" s="67"/>
      <c r="D204" s="67"/>
      <c r="E204" s="68">
        <f t="shared" si="52"/>
        <v>0</v>
      </c>
      <c r="F204" s="69"/>
      <c r="G204" s="70">
        <f t="shared" si="53"/>
        <v>0</v>
      </c>
      <c r="H204" s="66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4"/>
        <v>0</v>
      </c>
      <c r="U204" s="70">
        <f t="shared" si="55"/>
        <v>0</v>
      </c>
      <c r="V204" s="70">
        <f t="shared" si="56"/>
        <v>0</v>
      </c>
      <c r="W204" s="71">
        <f t="shared" si="57"/>
        <v>0</v>
      </c>
      <c r="X204" s="69"/>
      <c r="Y204" s="58">
        <f t="shared" si="58"/>
        <v>0</v>
      </c>
      <c r="Z204" s="72" t="str">
        <f t="shared" si="59"/>
        <v/>
      </c>
      <c r="AA204" s="73"/>
    </row>
  </sheetData>
  <mergeCells count="2">
    <mergeCell ref="A1:AA1"/>
    <mergeCell ref="A3:AA3"/>
  </mergeCells>
  <conditionalFormatting sqref="U6:U64">
    <cfRule type="cellIs" dxfId="4" priority="4" operator="lessThan">
      <formula>0</formula>
    </cfRule>
  </conditionalFormatting>
  <conditionalFormatting sqref="Y6:Y204">
    <cfRule type="expression" dxfId="3" priority="3">
      <formula>Y6&gt;0</formula>
    </cfRule>
  </conditionalFormatting>
  <conditionalFormatting sqref="Z6:Z64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4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4" xr:uid="{00000000-0002-0000-0200-000006000000}">
      <formula1>OR(C6="",SUMPRODUCT(($C$6:$C$204&lt;=C6)*($D$6:$D$204&gt;=C6)*($I$6:$I$204&lt;&gt;"Cancelada")*($I$6:$I$204&lt;&gt;"Consulta")*(ROW($C$6:$C$204)&lt;&gt;ROW()))=0)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4" xr:uid="{00000000-0002-0000-0200-000007000000}">
      <formula1>OR(D6="",AND(C6&lt;&gt;"",D6&gt;C6,SUMPRODUCT(($C$6:$C$204&lt;=D6)*($D$6:$D$204&gt;=C6)*($I$6:$I$204&lt;&gt;"Cancelada")*($I$6:$I$204&lt;&gt;"Consulta")*(ROW($C$6:$C$204)&lt;&gt;ROW()))=0))</formula1>
    </dataValidation>
    <dataValidation type="list" sqref="J6:J204" xr:uid="{B22C96CE-7948-45F7-BCA7-CAA02DD8F23B}">
      <formula1>"Direto,Airbnb,Booking,Imobiliária,Indicação,Cortesia,Outro"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A6" sqref="A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3" t="s">
        <v>85</v>
      </c>
      <c r="B1" s="93"/>
      <c r="C1" s="93"/>
      <c r="D1" s="93"/>
      <c r="E1" s="93"/>
      <c r="F1" s="93"/>
    </row>
    <row r="3" spans="1:6" ht="27.2" customHeight="1">
      <c r="A3" s="94" t="s">
        <v>86</v>
      </c>
      <c r="B3" s="94"/>
      <c r="C3" s="94"/>
      <c r="D3" s="94"/>
      <c r="E3" s="94"/>
      <c r="F3" s="94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AND(E6&lt;&gt;"",COUNTIF(RESERVAS!$A$6:$A$204,E6)=0)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E8" sqref="E8"/>
    </sheetView>
  </sheetViews>
  <sheetFormatPr defaultRowHeight="14.25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3" t="s">
        <v>93</v>
      </c>
      <c r="B1" s="93"/>
      <c r="C1" s="93"/>
      <c r="D1" s="93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117</v>
      </c>
    </row>
    <row r="10" spans="1:6">
      <c r="A10" t="s">
        <v>32</v>
      </c>
      <c r="B10">
        <v>7</v>
      </c>
      <c r="D10" t="s">
        <v>109</v>
      </c>
      <c r="F10" t="s">
        <v>108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2026-09-10T00:02:57Z</dcterms:modified>
</cp:coreProperties>
</file>