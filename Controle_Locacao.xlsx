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4979B0F7-9AB6-4A39-B245-FD821628CD5D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6" i="3" l="1"/>
  <c r="F16" i="3"/>
  <c r="AE7" i="3"/>
  <c r="AE8" i="3"/>
  <c r="AE9" i="3"/>
  <c r="AH6" i="3" s="1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6" i="3"/>
  <c r="F12" i="3"/>
  <c r="F13" i="3"/>
  <c r="F14" i="3"/>
  <c r="Z203" i="3"/>
  <c r="Y203" i="3"/>
  <c r="U203" i="3"/>
  <c r="T203" i="3"/>
  <c r="S203" i="3"/>
  <c r="E203" i="3"/>
  <c r="V203" i="3" s="1"/>
  <c r="A203" i="3"/>
  <c r="Z202" i="3"/>
  <c r="Y202" i="3"/>
  <c r="V202" i="3"/>
  <c r="U202" i="3"/>
  <c r="S202" i="3"/>
  <c r="E202" i="3"/>
  <c r="G202" i="3" s="1"/>
  <c r="W202" i="3" s="1"/>
  <c r="A202" i="3"/>
  <c r="Z201" i="3"/>
  <c r="Y201" i="3"/>
  <c r="V201" i="3"/>
  <c r="U201" i="3"/>
  <c r="S201" i="3"/>
  <c r="E201" i="3"/>
  <c r="A201" i="3"/>
  <c r="Z200" i="3"/>
  <c r="Y200" i="3"/>
  <c r="U200" i="3"/>
  <c r="S200" i="3"/>
  <c r="E200" i="3"/>
  <c r="A200" i="3"/>
  <c r="Z199" i="3"/>
  <c r="Y199" i="3"/>
  <c r="U199" i="3"/>
  <c r="T199" i="3"/>
  <c r="S199" i="3"/>
  <c r="E199" i="3"/>
  <c r="V199" i="3" s="1"/>
  <c r="A199" i="3"/>
  <c r="Z198" i="3"/>
  <c r="Y198" i="3"/>
  <c r="V198" i="3"/>
  <c r="U198" i="3"/>
  <c r="S198" i="3"/>
  <c r="E198" i="3"/>
  <c r="G198" i="3" s="1"/>
  <c r="W198" i="3" s="1"/>
  <c r="A198" i="3"/>
  <c r="Z197" i="3"/>
  <c r="Y197" i="3"/>
  <c r="V197" i="3"/>
  <c r="U197" i="3"/>
  <c r="S197" i="3"/>
  <c r="E197" i="3"/>
  <c r="A197" i="3"/>
  <c r="Z196" i="3"/>
  <c r="Y196" i="3"/>
  <c r="U196" i="3"/>
  <c r="S196" i="3"/>
  <c r="E196" i="3"/>
  <c r="A196" i="3"/>
  <c r="Z195" i="3"/>
  <c r="Y195" i="3"/>
  <c r="U195" i="3"/>
  <c r="T195" i="3"/>
  <c r="S195" i="3"/>
  <c r="E195" i="3"/>
  <c r="V195" i="3" s="1"/>
  <c r="A195" i="3"/>
  <c r="Z194" i="3"/>
  <c r="Y194" i="3"/>
  <c r="V194" i="3"/>
  <c r="U194" i="3"/>
  <c r="S194" i="3"/>
  <c r="E194" i="3"/>
  <c r="G194" i="3" s="1"/>
  <c r="W194" i="3" s="1"/>
  <c r="A194" i="3"/>
  <c r="Z193" i="3"/>
  <c r="Y193" i="3"/>
  <c r="V193" i="3"/>
  <c r="U193" i="3"/>
  <c r="S193" i="3"/>
  <c r="E193" i="3"/>
  <c r="A193" i="3"/>
  <c r="Z192" i="3"/>
  <c r="Y192" i="3"/>
  <c r="U192" i="3"/>
  <c r="S192" i="3"/>
  <c r="E192" i="3"/>
  <c r="A192" i="3"/>
  <c r="Z191" i="3"/>
  <c r="Y191" i="3"/>
  <c r="U191" i="3"/>
  <c r="T191" i="3"/>
  <c r="S191" i="3"/>
  <c r="E191" i="3"/>
  <c r="V191" i="3" s="1"/>
  <c r="A191" i="3"/>
  <c r="Z190" i="3"/>
  <c r="Y190" i="3"/>
  <c r="V190" i="3"/>
  <c r="U190" i="3"/>
  <c r="S190" i="3"/>
  <c r="E190" i="3"/>
  <c r="G190" i="3" s="1"/>
  <c r="W190" i="3" s="1"/>
  <c r="A190" i="3"/>
  <c r="Z189" i="3"/>
  <c r="Y189" i="3"/>
  <c r="U189" i="3"/>
  <c r="S189" i="3"/>
  <c r="E189" i="3"/>
  <c r="A189" i="3"/>
  <c r="Z188" i="3"/>
  <c r="Y188" i="3"/>
  <c r="U188" i="3"/>
  <c r="S188" i="3"/>
  <c r="E188" i="3"/>
  <c r="A188" i="3"/>
  <c r="Z187" i="3"/>
  <c r="Y187" i="3"/>
  <c r="V187" i="3"/>
  <c r="U187" i="3"/>
  <c r="T187" i="3"/>
  <c r="S187" i="3"/>
  <c r="G187" i="3"/>
  <c r="W187" i="3" s="1"/>
  <c r="E187" i="3"/>
  <c r="A187" i="3"/>
  <c r="Z186" i="3"/>
  <c r="Y186" i="3"/>
  <c r="V186" i="3"/>
  <c r="U186" i="3"/>
  <c r="T186" i="3"/>
  <c r="S186" i="3"/>
  <c r="G186" i="3"/>
  <c r="W186" i="3" s="1"/>
  <c r="E186" i="3"/>
  <c r="A186" i="3"/>
  <c r="Z185" i="3"/>
  <c r="Y185" i="3"/>
  <c r="V185" i="3"/>
  <c r="U185" i="3"/>
  <c r="S185" i="3"/>
  <c r="E185" i="3"/>
  <c r="A185" i="3"/>
  <c r="Z184" i="3"/>
  <c r="Y184" i="3"/>
  <c r="U184" i="3"/>
  <c r="S184" i="3"/>
  <c r="E184" i="3"/>
  <c r="A184" i="3"/>
  <c r="Z183" i="3"/>
  <c r="Y183" i="3"/>
  <c r="V183" i="3"/>
  <c r="U183" i="3"/>
  <c r="T183" i="3"/>
  <c r="S183" i="3"/>
  <c r="G183" i="3"/>
  <c r="W183" i="3" s="1"/>
  <c r="E183" i="3"/>
  <c r="A183" i="3"/>
  <c r="Z182" i="3"/>
  <c r="Y182" i="3"/>
  <c r="V182" i="3"/>
  <c r="U182" i="3"/>
  <c r="T182" i="3"/>
  <c r="S182" i="3"/>
  <c r="G182" i="3"/>
  <c r="W182" i="3" s="1"/>
  <c r="E182" i="3"/>
  <c r="A182" i="3"/>
  <c r="Z181" i="3"/>
  <c r="Y181" i="3"/>
  <c r="U181" i="3"/>
  <c r="S181" i="3"/>
  <c r="E181" i="3"/>
  <c r="A181" i="3"/>
  <c r="Z180" i="3"/>
  <c r="Y180" i="3"/>
  <c r="U180" i="3"/>
  <c r="S180" i="3"/>
  <c r="E180" i="3"/>
  <c r="A180" i="3"/>
  <c r="Z179" i="3"/>
  <c r="Y179" i="3"/>
  <c r="U179" i="3"/>
  <c r="S179" i="3"/>
  <c r="E179" i="3"/>
  <c r="V179" i="3" s="1"/>
  <c r="A179" i="3"/>
  <c r="Z178" i="3"/>
  <c r="Y178" i="3"/>
  <c r="U178" i="3"/>
  <c r="T178" i="3"/>
  <c r="S178" i="3"/>
  <c r="E178" i="3"/>
  <c r="V178" i="3" s="1"/>
  <c r="A178" i="3"/>
  <c r="Z177" i="3"/>
  <c r="Y177" i="3"/>
  <c r="U177" i="3"/>
  <c r="S177" i="3"/>
  <c r="E177" i="3"/>
  <c r="A177" i="3"/>
  <c r="Z176" i="3"/>
  <c r="Y176" i="3"/>
  <c r="U176" i="3"/>
  <c r="S176" i="3"/>
  <c r="E176" i="3"/>
  <c r="A176" i="3"/>
  <c r="Z175" i="3"/>
  <c r="Y175" i="3"/>
  <c r="U175" i="3"/>
  <c r="S175" i="3"/>
  <c r="E175" i="3"/>
  <c r="V175" i="3" s="1"/>
  <c r="A175" i="3"/>
  <c r="Z174" i="3"/>
  <c r="Y174" i="3"/>
  <c r="V174" i="3"/>
  <c r="U174" i="3"/>
  <c r="T174" i="3"/>
  <c r="S174" i="3"/>
  <c r="G174" i="3"/>
  <c r="W174" i="3" s="1"/>
  <c r="E174" i="3"/>
  <c r="A174" i="3"/>
  <c r="Z173" i="3"/>
  <c r="Y173" i="3"/>
  <c r="U173" i="3"/>
  <c r="S173" i="3"/>
  <c r="E173" i="3"/>
  <c r="A173" i="3"/>
  <c r="Z172" i="3"/>
  <c r="Y172" i="3"/>
  <c r="U172" i="3"/>
  <c r="S172" i="3"/>
  <c r="E172" i="3"/>
  <c r="A172" i="3"/>
  <c r="Z171" i="3"/>
  <c r="Y171" i="3"/>
  <c r="U171" i="3"/>
  <c r="S171" i="3"/>
  <c r="E171" i="3"/>
  <c r="T171" i="3" s="1"/>
  <c r="A171" i="3"/>
  <c r="Z170" i="3"/>
  <c r="Y170" i="3"/>
  <c r="U170" i="3"/>
  <c r="S170" i="3"/>
  <c r="E170" i="3"/>
  <c r="V170" i="3" s="1"/>
  <c r="A170" i="3"/>
  <c r="Z169" i="3"/>
  <c r="Y169" i="3"/>
  <c r="U169" i="3"/>
  <c r="S169" i="3"/>
  <c r="E169" i="3"/>
  <c r="V169" i="3" s="1"/>
  <c r="A169" i="3"/>
  <c r="Z168" i="3"/>
  <c r="Y168" i="3"/>
  <c r="U168" i="3"/>
  <c r="S168" i="3"/>
  <c r="E168" i="3"/>
  <c r="A168" i="3"/>
  <c r="Z167" i="3"/>
  <c r="Y167" i="3"/>
  <c r="U167" i="3"/>
  <c r="S167" i="3"/>
  <c r="E167" i="3"/>
  <c r="T167" i="3" s="1"/>
  <c r="A167" i="3"/>
  <c r="Z166" i="3"/>
  <c r="Y166" i="3"/>
  <c r="U166" i="3"/>
  <c r="S166" i="3"/>
  <c r="E166" i="3"/>
  <c r="G166" i="3" s="1"/>
  <c r="W166" i="3" s="1"/>
  <c r="A166" i="3"/>
  <c r="Z165" i="3"/>
  <c r="Y165" i="3"/>
  <c r="U165" i="3"/>
  <c r="S165" i="3"/>
  <c r="E165" i="3"/>
  <c r="V165" i="3" s="1"/>
  <c r="A165" i="3"/>
  <c r="Z164" i="3"/>
  <c r="Y164" i="3"/>
  <c r="U164" i="3"/>
  <c r="S164" i="3"/>
  <c r="E164" i="3"/>
  <c r="A164" i="3"/>
  <c r="Z163" i="3"/>
  <c r="Y163" i="3"/>
  <c r="V163" i="3"/>
  <c r="U163" i="3"/>
  <c r="T163" i="3"/>
  <c r="S163" i="3"/>
  <c r="G163" i="3"/>
  <c r="W163" i="3" s="1"/>
  <c r="E163" i="3"/>
  <c r="A163" i="3"/>
  <c r="Z162" i="3"/>
  <c r="Y162" i="3"/>
  <c r="V162" i="3"/>
  <c r="U162" i="3"/>
  <c r="T162" i="3"/>
  <c r="S162" i="3"/>
  <c r="E162" i="3"/>
  <c r="G162" i="3" s="1"/>
  <c r="W162" i="3" s="1"/>
  <c r="A162" i="3"/>
  <c r="Z161" i="3"/>
  <c r="Y161" i="3"/>
  <c r="V161" i="3"/>
  <c r="U161" i="3"/>
  <c r="S161" i="3"/>
  <c r="E161" i="3"/>
  <c r="A161" i="3"/>
  <c r="Z160" i="3"/>
  <c r="Y160" i="3"/>
  <c r="U160" i="3"/>
  <c r="S160" i="3"/>
  <c r="E160" i="3"/>
  <c r="A160" i="3"/>
  <c r="Z159" i="3"/>
  <c r="Y159" i="3"/>
  <c r="V159" i="3"/>
  <c r="U159" i="3"/>
  <c r="S159" i="3"/>
  <c r="E159" i="3"/>
  <c r="G159" i="3" s="1"/>
  <c r="W159" i="3" s="1"/>
  <c r="A159" i="3"/>
  <c r="Z158" i="3"/>
  <c r="Y158" i="3"/>
  <c r="V158" i="3"/>
  <c r="U158" i="3"/>
  <c r="S158" i="3"/>
  <c r="E158" i="3"/>
  <c r="G158" i="3" s="1"/>
  <c r="W158" i="3" s="1"/>
  <c r="A158" i="3"/>
  <c r="Z157" i="3"/>
  <c r="Y157" i="3"/>
  <c r="V157" i="3"/>
  <c r="U157" i="3"/>
  <c r="S157" i="3"/>
  <c r="E157" i="3"/>
  <c r="A157" i="3"/>
  <c r="Z156" i="3"/>
  <c r="Y156" i="3"/>
  <c r="U156" i="3"/>
  <c r="S156" i="3"/>
  <c r="E156" i="3"/>
  <c r="G156" i="3" s="1"/>
  <c r="W156" i="3" s="1"/>
  <c r="A156" i="3"/>
  <c r="Z155" i="3"/>
  <c r="Y155" i="3"/>
  <c r="U155" i="3"/>
  <c r="T155" i="3"/>
  <c r="S155" i="3"/>
  <c r="E155" i="3"/>
  <c r="V155" i="3" s="1"/>
  <c r="A155" i="3"/>
  <c r="Z154" i="3"/>
  <c r="Y154" i="3"/>
  <c r="U154" i="3"/>
  <c r="T154" i="3"/>
  <c r="S154" i="3"/>
  <c r="E154" i="3"/>
  <c r="G154" i="3" s="1"/>
  <c r="W154" i="3" s="1"/>
  <c r="A154" i="3"/>
  <c r="Z153" i="3"/>
  <c r="Y153" i="3"/>
  <c r="V153" i="3"/>
  <c r="U153" i="3"/>
  <c r="S153" i="3"/>
  <c r="E153" i="3"/>
  <c r="A153" i="3"/>
  <c r="Z152" i="3"/>
  <c r="Y152" i="3"/>
  <c r="U152" i="3"/>
  <c r="S152" i="3"/>
  <c r="E152" i="3"/>
  <c r="G152" i="3" s="1"/>
  <c r="W152" i="3" s="1"/>
  <c r="A152" i="3"/>
  <c r="Z151" i="3"/>
  <c r="Y151" i="3"/>
  <c r="U151" i="3"/>
  <c r="S151" i="3"/>
  <c r="E151" i="3"/>
  <c r="V151" i="3" s="1"/>
  <c r="A151" i="3"/>
  <c r="Z150" i="3"/>
  <c r="Y150" i="3"/>
  <c r="U150" i="3"/>
  <c r="S150" i="3"/>
  <c r="E150" i="3"/>
  <c r="G150" i="3" s="1"/>
  <c r="W150" i="3" s="1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E148" i="3"/>
  <c r="G148" i="3" s="1"/>
  <c r="W148" i="3" s="1"/>
  <c r="A148" i="3"/>
  <c r="Z147" i="3"/>
  <c r="Y147" i="3"/>
  <c r="U147" i="3"/>
  <c r="S147" i="3"/>
  <c r="E147" i="3"/>
  <c r="V147" i="3" s="1"/>
  <c r="A147" i="3"/>
  <c r="Z146" i="3"/>
  <c r="Y146" i="3"/>
  <c r="V146" i="3"/>
  <c r="U146" i="3"/>
  <c r="T146" i="3"/>
  <c r="S146" i="3"/>
  <c r="E146" i="3"/>
  <c r="G146" i="3" s="1"/>
  <c r="W146" i="3" s="1"/>
  <c r="A146" i="3"/>
  <c r="Z145" i="3"/>
  <c r="Y145" i="3"/>
  <c r="V145" i="3"/>
  <c r="U145" i="3"/>
  <c r="S145" i="3"/>
  <c r="E145" i="3"/>
  <c r="A145" i="3"/>
  <c r="Z144" i="3"/>
  <c r="Y144" i="3"/>
  <c r="U144" i="3"/>
  <c r="S144" i="3"/>
  <c r="E144" i="3"/>
  <c r="G144" i="3" s="1"/>
  <c r="W144" i="3" s="1"/>
  <c r="A144" i="3"/>
  <c r="Z143" i="3"/>
  <c r="Y143" i="3"/>
  <c r="U143" i="3"/>
  <c r="S143" i="3"/>
  <c r="E143" i="3"/>
  <c r="V143" i="3" s="1"/>
  <c r="A143" i="3"/>
  <c r="Z142" i="3"/>
  <c r="Y142" i="3"/>
  <c r="V142" i="3"/>
  <c r="U142" i="3"/>
  <c r="S142" i="3"/>
  <c r="E142" i="3"/>
  <c r="G142" i="3" s="1"/>
  <c r="W142" i="3" s="1"/>
  <c r="A142" i="3"/>
  <c r="Z141" i="3"/>
  <c r="Y141" i="3"/>
  <c r="V141" i="3"/>
  <c r="U141" i="3"/>
  <c r="S141" i="3"/>
  <c r="E141" i="3"/>
  <c r="A141" i="3"/>
  <c r="Z140" i="3"/>
  <c r="Y140" i="3"/>
  <c r="U140" i="3"/>
  <c r="S140" i="3"/>
  <c r="E140" i="3"/>
  <c r="G140" i="3" s="1"/>
  <c r="W140" i="3" s="1"/>
  <c r="A140" i="3"/>
  <c r="Z139" i="3"/>
  <c r="Y139" i="3"/>
  <c r="U139" i="3"/>
  <c r="T139" i="3"/>
  <c r="S139" i="3"/>
  <c r="E139" i="3"/>
  <c r="V139" i="3" s="1"/>
  <c r="A139" i="3"/>
  <c r="Z138" i="3"/>
  <c r="Y138" i="3"/>
  <c r="U138" i="3"/>
  <c r="T138" i="3"/>
  <c r="S138" i="3"/>
  <c r="E138" i="3"/>
  <c r="G138" i="3" s="1"/>
  <c r="W138" i="3" s="1"/>
  <c r="A138" i="3"/>
  <c r="Z137" i="3"/>
  <c r="Y137" i="3"/>
  <c r="V137" i="3"/>
  <c r="U137" i="3"/>
  <c r="S137" i="3"/>
  <c r="E137" i="3"/>
  <c r="A137" i="3"/>
  <c r="Z136" i="3"/>
  <c r="Y136" i="3"/>
  <c r="U136" i="3"/>
  <c r="S136" i="3"/>
  <c r="E136" i="3"/>
  <c r="G136" i="3" s="1"/>
  <c r="W136" i="3" s="1"/>
  <c r="A136" i="3"/>
  <c r="Z135" i="3"/>
  <c r="Y135" i="3"/>
  <c r="U135" i="3"/>
  <c r="S135" i="3"/>
  <c r="E135" i="3"/>
  <c r="V135" i="3" s="1"/>
  <c r="A135" i="3"/>
  <c r="Z134" i="3"/>
  <c r="Y134" i="3"/>
  <c r="U134" i="3"/>
  <c r="S134" i="3"/>
  <c r="E134" i="3"/>
  <c r="G134" i="3" s="1"/>
  <c r="W134" i="3" s="1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E132" i="3"/>
  <c r="G132" i="3" s="1"/>
  <c r="W132" i="3" s="1"/>
  <c r="A132" i="3"/>
  <c r="Z131" i="3"/>
  <c r="Y131" i="3"/>
  <c r="U131" i="3"/>
  <c r="S131" i="3"/>
  <c r="E131" i="3"/>
  <c r="V131" i="3" s="1"/>
  <c r="A131" i="3"/>
  <c r="Z130" i="3"/>
  <c r="Y130" i="3"/>
  <c r="V130" i="3"/>
  <c r="U130" i="3"/>
  <c r="T130" i="3"/>
  <c r="S130" i="3"/>
  <c r="E130" i="3"/>
  <c r="G130" i="3" s="1"/>
  <c r="W130" i="3" s="1"/>
  <c r="A130" i="3"/>
  <c r="Z129" i="3"/>
  <c r="Y129" i="3"/>
  <c r="V129" i="3"/>
  <c r="U129" i="3"/>
  <c r="S129" i="3"/>
  <c r="E129" i="3"/>
  <c r="A129" i="3"/>
  <c r="Z128" i="3"/>
  <c r="Y128" i="3"/>
  <c r="U128" i="3"/>
  <c r="S128" i="3"/>
  <c r="E128" i="3"/>
  <c r="G128" i="3" s="1"/>
  <c r="W128" i="3" s="1"/>
  <c r="A128" i="3"/>
  <c r="Z127" i="3"/>
  <c r="Y127" i="3"/>
  <c r="U127" i="3"/>
  <c r="S127" i="3"/>
  <c r="E127" i="3"/>
  <c r="V127" i="3" s="1"/>
  <c r="A127" i="3"/>
  <c r="Z126" i="3"/>
  <c r="Y126" i="3"/>
  <c r="V126" i="3"/>
  <c r="U126" i="3"/>
  <c r="S126" i="3"/>
  <c r="E126" i="3"/>
  <c r="G126" i="3" s="1"/>
  <c r="W126" i="3" s="1"/>
  <c r="A126" i="3"/>
  <c r="Z125" i="3"/>
  <c r="Y125" i="3"/>
  <c r="V125" i="3"/>
  <c r="U125" i="3"/>
  <c r="S125" i="3"/>
  <c r="E125" i="3"/>
  <c r="A125" i="3"/>
  <c r="Z124" i="3"/>
  <c r="Y124" i="3"/>
  <c r="U124" i="3"/>
  <c r="S124" i="3"/>
  <c r="E124" i="3"/>
  <c r="G124" i="3" s="1"/>
  <c r="W124" i="3" s="1"/>
  <c r="A124" i="3"/>
  <c r="Z123" i="3"/>
  <c r="Y123" i="3"/>
  <c r="U123" i="3"/>
  <c r="T123" i="3"/>
  <c r="S123" i="3"/>
  <c r="E123" i="3"/>
  <c r="V123" i="3" s="1"/>
  <c r="A123" i="3"/>
  <c r="Z122" i="3"/>
  <c r="Y122" i="3"/>
  <c r="U122" i="3"/>
  <c r="T122" i="3"/>
  <c r="S122" i="3"/>
  <c r="E122" i="3"/>
  <c r="G122" i="3" s="1"/>
  <c r="W122" i="3" s="1"/>
  <c r="A122" i="3"/>
  <c r="Z121" i="3"/>
  <c r="Y121" i="3"/>
  <c r="V121" i="3"/>
  <c r="U121" i="3"/>
  <c r="S121" i="3"/>
  <c r="E121" i="3"/>
  <c r="A121" i="3"/>
  <c r="Z120" i="3"/>
  <c r="Y120" i="3"/>
  <c r="U120" i="3"/>
  <c r="S120" i="3"/>
  <c r="E120" i="3"/>
  <c r="G120" i="3" s="1"/>
  <c r="W120" i="3" s="1"/>
  <c r="A120" i="3"/>
  <c r="Z119" i="3"/>
  <c r="Y119" i="3"/>
  <c r="U119" i="3"/>
  <c r="S119" i="3"/>
  <c r="E119" i="3"/>
  <c r="V119" i="3" s="1"/>
  <c r="A119" i="3"/>
  <c r="Z118" i="3"/>
  <c r="Y118" i="3"/>
  <c r="U118" i="3"/>
  <c r="S118" i="3"/>
  <c r="E118" i="3"/>
  <c r="G118" i="3" s="1"/>
  <c r="W118" i="3" s="1"/>
  <c r="A118" i="3"/>
  <c r="Z117" i="3"/>
  <c r="Y117" i="3"/>
  <c r="U117" i="3"/>
  <c r="S117" i="3"/>
  <c r="E117" i="3"/>
  <c r="V117" i="3" s="1"/>
  <c r="A117" i="3"/>
  <c r="Z116" i="3"/>
  <c r="Y116" i="3"/>
  <c r="U116" i="3"/>
  <c r="S116" i="3"/>
  <c r="E116" i="3"/>
  <c r="G116" i="3" s="1"/>
  <c r="W116" i="3" s="1"/>
  <c r="A116" i="3"/>
  <c r="Z115" i="3"/>
  <c r="Y115" i="3"/>
  <c r="U115" i="3"/>
  <c r="S115" i="3"/>
  <c r="E115" i="3"/>
  <c r="V115" i="3" s="1"/>
  <c r="A115" i="3"/>
  <c r="Z114" i="3"/>
  <c r="Y114" i="3"/>
  <c r="U114" i="3"/>
  <c r="T114" i="3"/>
  <c r="S114" i="3"/>
  <c r="E114" i="3"/>
  <c r="G114" i="3" s="1"/>
  <c r="W114" i="3" s="1"/>
  <c r="A114" i="3"/>
  <c r="Z113" i="3"/>
  <c r="Y113" i="3"/>
  <c r="V113" i="3"/>
  <c r="U113" i="3"/>
  <c r="S113" i="3"/>
  <c r="E113" i="3"/>
  <c r="A113" i="3"/>
  <c r="Z112" i="3"/>
  <c r="Y112" i="3"/>
  <c r="U112" i="3"/>
  <c r="S112" i="3"/>
  <c r="E112" i="3"/>
  <c r="G112" i="3" s="1"/>
  <c r="W112" i="3" s="1"/>
  <c r="A112" i="3"/>
  <c r="Z111" i="3"/>
  <c r="Y111" i="3"/>
  <c r="U111" i="3"/>
  <c r="S111" i="3"/>
  <c r="E111" i="3"/>
  <c r="V111" i="3" s="1"/>
  <c r="A111" i="3"/>
  <c r="Z110" i="3"/>
  <c r="Y110" i="3"/>
  <c r="V110" i="3"/>
  <c r="U110" i="3"/>
  <c r="S110" i="3"/>
  <c r="E110" i="3"/>
  <c r="G110" i="3" s="1"/>
  <c r="W110" i="3" s="1"/>
  <c r="A110" i="3"/>
  <c r="Z109" i="3"/>
  <c r="Y109" i="3"/>
  <c r="V109" i="3"/>
  <c r="U109" i="3"/>
  <c r="S109" i="3"/>
  <c r="E109" i="3"/>
  <c r="A109" i="3"/>
  <c r="Z108" i="3"/>
  <c r="Y108" i="3"/>
  <c r="U108" i="3"/>
  <c r="S108" i="3"/>
  <c r="E108" i="3"/>
  <c r="G108" i="3" s="1"/>
  <c r="W108" i="3" s="1"/>
  <c r="A108" i="3"/>
  <c r="Z107" i="3"/>
  <c r="Y107" i="3"/>
  <c r="U107" i="3"/>
  <c r="T107" i="3"/>
  <c r="S107" i="3"/>
  <c r="E107" i="3"/>
  <c r="V107" i="3" s="1"/>
  <c r="A107" i="3"/>
  <c r="Z106" i="3"/>
  <c r="Y106" i="3"/>
  <c r="V106" i="3"/>
  <c r="U106" i="3"/>
  <c r="T106" i="3"/>
  <c r="S106" i="3"/>
  <c r="E106" i="3"/>
  <c r="G106" i="3" s="1"/>
  <c r="W106" i="3" s="1"/>
  <c r="A106" i="3"/>
  <c r="Z105" i="3"/>
  <c r="Y105" i="3"/>
  <c r="V105" i="3"/>
  <c r="U105" i="3"/>
  <c r="S105" i="3"/>
  <c r="E105" i="3"/>
  <c r="A105" i="3"/>
  <c r="Z104" i="3"/>
  <c r="Y104" i="3"/>
  <c r="U104" i="3"/>
  <c r="S104" i="3"/>
  <c r="E104" i="3"/>
  <c r="G104" i="3" s="1"/>
  <c r="W104" i="3" s="1"/>
  <c r="A104" i="3"/>
  <c r="Z103" i="3"/>
  <c r="Y103" i="3"/>
  <c r="U103" i="3"/>
  <c r="S103" i="3"/>
  <c r="E103" i="3"/>
  <c r="V103" i="3" s="1"/>
  <c r="A103" i="3"/>
  <c r="Z102" i="3"/>
  <c r="Y102" i="3"/>
  <c r="U102" i="3"/>
  <c r="S102" i="3"/>
  <c r="E102" i="3"/>
  <c r="G102" i="3" s="1"/>
  <c r="W102" i="3" s="1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G100" i="3" s="1"/>
  <c r="W100" i="3" s="1"/>
  <c r="A100" i="3"/>
  <c r="Z99" i="3"/>
  <c r="Y99" i="3"/>
  <c r="U99" i="3"/>
  <c r="S99" i="3"/>
  <c r="E99" i="3"/>
  <c r="V99" i="3" s="1"/>
  <c r="A99" i="3"/>
  <c r="Z98" i="3"/>
  <c r="Y98" i="3"/>
  <c r="U98" i="3"/>
  <c r="T98" i="3"/>
  <c r="S98" i="3"/>
  <c r="E98" i="3"/>
  <c r="G98" i="3" s="1"/>
  <c r="W98" i="3" s="1"/>
  <c r="A98" i="3"/>
  <c r="Z97" i="3"/>
  <c r="Y97" i="3"/>
  <c r="V97" i="3"/>
  <c r="U97" i="3"/>
  <c r="S97" i="3"/>
  <c r="E97" i="3"/>
  <c r="A97" i="3"/>
  <c r="Z96" i="3"/>
  <c r="Y96" i="3"/>
  <c r="U96" i="3"/>
  <c r="S96" i="3"/>
  <c r="E96" i="3"/>
  <c r="G96" i="3" s="1"/>
  <c r="W96" i="3" s="1"/>
  <c r="A96" i="3"/>
  <c r="Z95" i="3"/>
  <c r="Y95" i="3"/>
  <c r="U95" i="3"/>
  <c r="S95" i="3"/>
  <c r="E95" i="3"/>
  <c r="V95" i="3" s="1"/>
  <c r="A95" i="3"/>
  <c r="Z94" i="3"/>
  <c r="Y94" i="3"/>
  <c r="V94" i="3"/>
  <c r="U94" i="3"/>
  <c r="S94" i="3"/>
  <c r="E94" i="3"/>
  <c r="G94" i="3" s="1"/>
  <c r="W94" i="3" s="1"/>
  <c r="A94" i="3"/>
  <c r="Z93" i="3"/>
  <c r="Y93" i="3"/>
  <c r="V93" i="3"/>
  <c r="U93" i="3"/>
  <c r="S93" i="3"/>
  <c r="E93" i="3"/>
  <c r="A93" i="3"/>
  <c r="Z92" i="3"/>
  <c r="Y92" i="3"/>
  <c r="U92" i="3"/>
  <c r="S92" i="3"/>
  <c r="E92" i="3"/>
  <c r="G92" i="3" s="1"/>
  <c r="W92" i="3" s="1"/>
  <c r="A92" i="3"/>
  <c r="Z91" i="3"/>
  <c r="Y91" i="3"/>
  <c r="U91" i="3"/>
  <c r="T91" i="3"/>
  <c r="S91" i="3"/>
  <c r="E91" i="3"/>
  <c r="V91" i="3" s="1"/>
  <c r="A91" i="3"/>
  <c r="Z90" i="3"/>
  <c r="Y90" i="3"/>
  <c r="W90" i="3"/>
  <c r="V90" i="3"/>
  <c r="U90" i="3"/>
  <c r="S90" i="3"/>
  <c r="E90" i="3"/>
  <c r="G90" i="3" s="1"/>
  <c r="A90" i="3"/>
  <c r="Z89" i="3"/>
  <c r="Y89" i="3"/>
  <c r="V89" i="3"/>
  <c r="U89" i="3"/>
  <c r="S89" i="3"/>
  <c r="E89" i="3"/>
  <c r="A89" i="3"/>
  <c r="Z88" i="3"/>
  <c r="Y88" i="3"/>
  <c r="U88" i="3"/>
  <c r="S88" i="3"/>
  <c r="E88" i="3"/>
  <c r="G88" i="3" s="1"/>
  <c r="W88" i="3" s="1"/>
  <c r="A88" i="3"/>
  <c r="Z87" i="3"/>
  <c r="Y87" i="3"/>
  <c r="U87" i="3"/>
  <c r="S87" i="3"/>
  <c r="E87" i="3"/>
  <c r="V87" i="3" s="1"/>
  <c r="A87" i="3"/>
  <c r="Z86" i="3"/>
  <c r="Y86" i="3"/>
  <c r="U86" i="3"/>
  <c r="S86" i="3"/>
  <c r="E86" i="3"/>
  <c r="G86" i="3" s="1"/>
  <c r="W86" i="3" s="1"/>
  <c r="A86" i="3"/>
  <c r="Z85" i="3"/>
  <c r="Y85" i="3"/>
  <c r="U85" i="3"/>
  <c r="S85" i="3"/>
  <c r="E85" i="3"/>
  <c r="V85" i="3" s="1"/>
  <c r="A85" i="3"/>
  <c r="Z84" i="3"/>
  <c r="Y84" i="3"/>
  <c r="U84" i="3"/>
  <c r="S84" i="3"/>
  <c r="E84" i="3"/>
  <c r="G84" i="3" s="1"/>
  <c r="W84" i="3" s="1"/>
  <c r="A84" i="3"/>
  <c r="Z83" i="3"/>
  <c r="Y83" i="3"/>
  <c r="U83" i="3"/>
  <c r="S83" i="3"/>
  <c r="E83" i="3"/>
  <c r="V83" i="3" s="1"/>
  <c r="A83" i="3"/>
  <c r="Z82" i="3"/>
  <c r="Y82" i="3"/>
  <c r="U82" i="3"/>
  <c r="S82" i="3"/>
  <c r="E82" i="3"/>
  <c r="G82" i="3" s="1"/>
  <c r="W82" i="3" s="1"/>
  <c r="A82" i="3"/>
  <c r="Z81" i="3"/>
  <c r="Y81" i="3"/>
  <c r="U81" i="3"/>
  <c r="S81" i="3"/>
  <c r="E81" i="3"/>
  <c r="A81" i="3"/>
  <c r="Z80" i="3"/>
  <c r="Y80" i="3"/>
  <c r="U80" i="3"/>
  <c r="S80" i="3"/>
  <c r="E80" i="3"/>
  <c r="A80" i="3"/>
  <c r="Z79" i="3"/>
  <c r="Y79" i="3"/>
  <c r="U79" i="3"/>
  <c r="S79" i="3"/>
  <c r="E79" i="3"/>
  <c r="V79" i="3" s="1"/>
  <c r="A79" i="3"/>
  <c r="Z78" i="3"/>
  <c r="Y78" i="3"/>
  <c r="W78" i="3"/>
  <c r="U78" i="3"/>
  <c r="S78" i="3"/>
  <c r="E78" i="3"/>
  <c r="G78" i="3" s="1"/>
  <c r="A78" i="3"/>
  <c r="Z77" i="3"/>
  <c r="Y77" i="3"/>
  <c r="V77" i="3"/>
  <c r="U77" i="3"/>
  <c r="T77" i="3"/>
  <c r="S77" i="3"/>
  <c r="G77" i="3"/>
  <c r="W77" i="3" s="1"/>
  <c r="E77" i="3"/>
  <c r="A77" i="3"/>
  <c r="Z76" i="3"/>
  <c r="Y76" i="3"/>
  <c r="U76" i="3"/>
  <c r="S76" i="3"/>
  <c r="E76" i="3"/>
  <c r="V76" i="3" s="1"/>
  <c r="A76" i="3"/>
  <c r="Z75" i="3"/>
  <c r="Y75" i="3"/>
  <c r="U75" i="3"/>
  <c r="S75" i="3"/>
  <c r="E75" i="3"/>
  <c r="V75" i="3" s="1"/>
  <c r="A75" i="3"/>
  <c r="Z74" i="3"/>
  <c r="Y74" i="3"/>
  <c r="U74" i="3"/>
  <c r="S74" i="3"/>
  <c r="G74" i="3"/>
  <c r="W74" i="3" s="1"/>
  <c r="E74" i="3"/>
  <c r="T74" i="3" s="1"/>
  <c r="A74" i="3"/>
  <c r="Z73" i="3"/>
  <c r="Y73" i="3"/>
  <c r="U73" i="3"/>
  <c r="S73" i="3"/>
  <c r="E73" i="3"/>
  <c r="T73" i="3" s="1"/>
  <c r="A73" i="3"/>
  <c r="Z72" i="3"/>
  <c r="Y72" i="3"/>
  <c r="U72" i="3"/>
  <c r="S72" i="3"/>
  <c r="E72" i="3"/>
  <c r="V72" i="3" s="1"/>
  <c r="A72" i="3"/>
  <c r="Z71" i="3"/>
  <c r="Y71" i="3"/>
  <c r="U71" i="3"/>
  <c r="S71" i="3"/>
  <c r="E71" i="3"/>
  <c r="V71" i="3" s="1"/>
  <c r="A71" i="3"/>
  <c r="Z70" i="3"/>
  <c r="Y70" i="3"/>
  <c r="U70" i="3"/>
  <c r="S70" i="3"/>
  <c r="E70" i="3"/>
  <c r="T70" i="3" s="1"/>
  <c r="A70" i="3"/>
  <c r="Z69" i="3"/>
  <c r="Y69" i="3"/>
  <c r="U69" i="3"/>
  <c r="S69" i="3"/>
  <c r="E69" i="3"/>
  <c r="V69" i="3" s="1"/>
  <c r="A69" i="3"/>
  <c r="Z68" i="3"/>
  <c r="Y68" i="3"/>
  <c r="V68" i="3"/>
  <c r="U68" i="3"/>
  <c r="T68" i="3"/>
  <c r="S68" i="3"/>
  <c r="G68" i="3"/>
  <c r="W68" i="3" s="1"/>
  <c r="E68" i="3"/>
  <c r="A68" i="3"/>
  <c r="Z67" i="3"/>
  <c r="Y67" i="3"/>
  <c r="U67" i="3"/>
  <c r="S67" i="3"/>
  <c r="E67" i="3"/>
  <c r="V67" i="3" s="1"/>
  <c r="A67" i="3"/>
  <c r="Z66" i="3"/>
  <c r="Y66" i="3"/>
  <c r="U66" i="3"/>
  <c r="S66" i="3"/>
  <c r="E66" i="3"/>
  <c r="T66" i="3" s="1"/>
  <c r="A66" i="3"/>
  <c r="Z65" i="3"/>
  <c r="Y65" i="3"/>
  <c r="U65" i="3"/>
  <c r="S65" i="3"/>
  <c r="E65" i="3"/>
  <c r="V65" i="3" s="1"/>
  <c r="A65" i="3"/>
  <c r="Z64" i="3"/>
  <c r="Y64" i="3"/>
  <c r="U64" i="3"/>
  <c r="T64" i="3"/>
  <c r="S64" i="3"/>
  <c r="E64" i="3"/>
  <c r="V64" i="3" s="1"/>
  <c r="A64" i="3"/>
  <c r="Z63" i="3"/>
  <c r="Y63" i="3"/>
  <c r="U63" i="3"/>
  <c r="S63" i="3"/>
  <c r="E63" i="3"/>
  <c r="V63" i="3" s="1"/>
  <c r="A63" i="3"/>
  <c r="Z62" i="3"/>
  <c r="Y62" i="3"/>
  <c r="U62" i="3"/>
  <c r="S62" i="3"/>
  <c r="E62" i="3"/>
  <c r="T62" i="3" s="1"/>
  <c r="A62" i="3"/>
  <c r="Z61" i="3"/>
  <c r="Y61" i="3"/>
  <c r="V61" i="3"/>
  <c r="U61" i="3"/>
  <c r="T61" i="3"/>
  <c r="S61" i="3"/>
  <c r="G61" i="3"/>
  <c r="W61" i="3" s="1"/>
  <c r="E61" i="3"/>
  <c r="A61" i="3"/>
  <c r="Z60" i="3"/>
  <c r="Y60" i="3"/>
  <c r="V60" i="3"/>
  <c r="U60" i="3"/>
  <c r="T60" i="3"/>
  <c r="S60" i="3"/>
  <c r="G60" i="3"/>
  <c r="W60" i="3" s="1"/>
  <c r="E60" i="3"/>
  <c r="A60" i="3"/>
  <c r="Z59" i="3"/>
  <c r="Y59" i="3"/>
  <c r="U59" i="3"/>
  <c r="S59" i="3"/>
  <c r="E59" i="3"/>
  <c r="V59" i="3" s="1"/>
  <c r="A59" i="3"/>
  <c r="Z58" i="3"/>
  <c r="Y58" i="3"/>
  <c r="U58" i="3"/>
  <c r="S58" i="3"/>
  <c r="G58" i="3"/>
  <c r="W58" i="3" s="1"/>
  <c r="E58" i="3"/>
  <c r="T58" i="3" s="1"/>
  <c r="A58" i="3"/>
  <c r="Z57" i="3"/>
  <c r="Y57" i="3"/>
  <c r="U57" i="3"/>
  <c r="T57" i="3"/>
  <c r="S57" i="3"/>
  <c r="E57" i="3"/>
  <c r="V57" i="3" s="1"/>
  <c r="A57" i="3"/>
  <c r="Z56" i="3"/>
  <c r="Y56" i="3"/>
  <c r="V56" i="3"/>
  <c r="U56" i="3"/>
  <c r="S56" i="3"/>
  <c r="E56" i="3"/>
  <c r="G56" i="3" s="1"/>
  <c r="W56" i="3" s="1"/>
  <c r="A56" i="3"/>
  <c r="Z55" i="3"/>
  <c r="Y55" i="3"/>
  <c r="U55" i="3"/>
  <c r="S55" i="3"/>
  <c r="E55" i="3"/>
  <c r="V55" i="3" s="1"/>
  <c r="A55" i="3"/>
  <c r="Z54" i="3"/>
  <c r="Y54" i="3"/>
  <c r="V54" i="3"/>
  <c r="U54" i="3"/>
  <c r="S54" i="3"/>
  <c r="E54" i="3"/>
  <c r="T54" i="3" s="1"/>
  <c r="A54" i="3"/>
  <c r="Z53" i="3"/>
  <c r="Y53" i="3"/>
  <c r="U53" i="3"/>
  <c r="T53" i="3"/>
  <c r="S53" i="3"/>
  <c r="E53" i="3"/>
  <c r="V53" i="3" s="1"/>
  <c r="A53" i="3"/>
  <c r="Z52" i="3"/>
  <c r="Y52" i="3"/>
  <c r="V52" i="3"/>
  <c r="U52" i="3"/>
  <c r="S52" i="3"/>
  <c r="E52" i="3"/>
  <c r="G52" i="3" s="1"/>
  <c r="W52" i="3" s="1"/>
  <c r="A52" i="3"/>
  <c r="Z51" i="3"/>
  <c r="Y51" i="3"/>
  <c r="U51" i="3"/>
  <c r="S51" i="3"/>
  <c r="E51" i="3"/>
  <c r="V51" i="3" s="1"/>
  <c r="A51" i="3"/>
  <c r="Z50" i="3"/>
  <c r="Y50" i="3"/>
  <c r="V50" i="3"/>
  <c r="U50" i="3"/>
  <c r="S50" i="3"/>
  <c r="E50" i="3"/>
  <c r="T50" i="3" s="1"/>
  <c r="A50" i="3"/>
  <c r="Z49" i="3"/>
  <c r="Y49" i="3"/>
  <c r="U49" i="3"/>
  <c r="T49" i="3"/>
  <c r="S49" i="3"/>
  <c r="E49" i="3"/>
  <c r="V49" i="3" s="1"/>
  <c r="A49" i="3"/>
  <c r="Z48" i="3"/>
  <c r="Y48" i="3"/>
  <c r="V48" i="3"/>
  <c r="U48" i="3"/>
  <c r="S48" i="3"/>
  <c r="E48" i="3"/>
  <c r="G48" i="3" s="1"/>
  <c r="W48" i="3" s="1"/>
  <c r="A48" i="3"/>
  <c r="Z47" i="3"/>
  <c r="Y47" i="3"/>
  <c r="U47" i="3"/>
  <c r="S47" i="3"/>
  <c r="E47" i="3"/>
  <c r="V47" i="3" s="1"/>
  <c r="A47" i="3"/>
  <c r="Z46" i="3"/>
  <c r="Y46" i="3"/>
  <c r="V46" i="3"/>
  <c r="U46" i="3"/>
  <c r="S46" i="3"/>
  <c r="E46" i="3"/>
  <c r="T46" i="3" s="1"/>
  <c r="A46" i="3"/>
  <c r="Z45" i="3"/>
  <c r="Y45" i="3"/>
  <c r="U45" i="3"/>
  <c r="T45" i="3"/>
  <c r="S45" i="3"/>
  <c r="E45" i="3"/>
  <c r="V45" i="3" s="1"/>
  <c r="A45" i="3"/>
  <c r="Z44" i="3"/>
  <c r="Y44" i="3"/>
  <c r="V44" i="3"/>
  <c r="U44" i="3"/>
  <c r="S44" i="3"/>
  <c r="E44" i="3"/>
  <c r="G44" i="3" s="1"/>
  <c r="W44" i="3" s="1"/>
  <c r="A44" i="3"/>
  <c r="Z43" i="3"/>
  <c r="Y43" i="3"/>
  <c r="U43" i="3"/>
  <c r="S43" i="3"/>
  <c r="E43" i="3"/>
  <c r="V43" i="3" s="1"/>
  <c r="A43" i="3"/>
  <c r="Z42" i="3"/>
  <c r="Y42" i="3"/>
  <c r="V42" i="3"/>
  <c r="U42" i="3"/>
  <c r="S42" i="3"/>
  <c r="E42" i="3"/>
  <c r="T42" i="3" s="1"/>
  <c r="A42" i="3"/>
  <c r="Z41" i="3"/>
  <c r="Y41" i="3"/>
  <c r="U41" i="3"/>
  <c r="T41" i="3"/>
  <c r="S41" i="3"/>
  <c r="E41" i="3"/>
  <c r="V41" i="3" s="1"/>
  <c r="A41" i="3"/>
  <c r="Z40" i="3"/>
  <c r="Y40" i="3"/>
  <c r="V40" i="3"/>
  <c r="U40" i="3"/>
  <c r="S40" i="3"/>
  <c r="E40" i="3"/>
  <c r="G40" i="3" s="1"/>
  <c r="W40" i="3" s="1"/>
  <c r="A40" i="3"/>
  <c r="Z39" i="3"/>
  <c r="Y39" i="3"/>
  <c r="U39" i="3"/>
  <c r="S39" i="3"/>
  <c r="E39" i="3"/>
  <c r="V39" i="3" s="1"/>
  <c r="A39" i="3"/>
  <c r="Z38" i="3"/>
  <c r="Y38" i="3"/>
  <c r="U38" i="3"/>
  <c r="S38" i="3"/>
  <c r="E38" i="3"/>
  <c r="T38" i="3" s="1"/>
  <c r="A38" i="3"/>
  <c r="Z37" i="3"/>
  <c r="Y37" i="3"/>
  <c r="U37" i="3"/>
  <c r="T37" i="3"/>
  <c r="S37" i="3"/>
  <c r="E37" i="3"/>
  <c r="V37" i="3" s="1"/>
  <c r="A37" i="3"/>
  <c r="Z36" i="3"/>
  <c r="Y36" i="3"/>
  <c r="V36" i="3"/>
  <c r="U36" i="3"/>
  <c r="S36" i="3"/>
  <c r="E36" i="3"/>
  <c r="G36" i="3" s="1"/>
  <c r="W36" i="3" s="1"/>
  <c r="A36" i="3"/>
  <c r="Z35" i="3"/>
  <c r="Y35" i="3"/>
  <c r="U35" i="3"/>
  <c r="S35" i="3"/>
  <c r="E35" i="3"/>
  <c r="V35" i="3" s="1"/>
  <c r="A35" i="3"/>
  <c r="Z34" i="3"/>
  <c r="Y34" i="3"/>
  <c r="U34" i="3"/>
  <c r="S34" i="3"/>
  <c r="E34" i="3"/>
  <c r="T34" i="3" s="1"/>
  <c r="A34" i="3"/>
  <c r="Z33" i="3"/>
  <c r="Y33" i="3"/>
  <c r="U33" i="3"/>
  <c r="T33" i="3"/>
  <c r="S33" i="3"/>
  <c r="E33" i="3"/>
  <c r="V33" i="3" s="1"/>
  <c r="A33" i="3"/>
  <c r="Z32" i="3"/>
  <c r="Y32" i="3"/>
  <c r="V32" i="3"/>
  <c r="U32" i="3"/>
  <c r="S32" i="3"/>
  <c r="E32" i="3"/>
  <c r="G32" i="3" s="1"/>
  <c r="W32" i="3" s="1"/>
  <c r="A32" i="3"/>
  <c r="Z31" i="3"/>
  <c r="Y31" i="3"/>
  <c r="U31" i="3"/>
  <c r="S31" i="3"/>
  <c r="E31" i="3"/>
  <c r="V31" i="3" s="1"/>
  <c r="A31" i="3"/>
  <c r="Z30" i="3"/>
  <c r="Y30" i="3"/>
  <c r="U30" i="3"/>
  <c r="S30" i="3"/>
  <c r="E30" i="3"/>
  <c r="T30" i="3" s="1"/>
  <c r="A30" i="3"/>
  <c r="Z29" i="3"/>
  <c r="Y29" i="3"/>
  <c r="U29" i="3"/>
  <c r="T29" i="3"/>
  <c r="S29" i="3"/>
  <c r="E29" i="3"/>
  <c r="V29" i="3" s="1"/>
  <c r="A29" i="3"/>
  <c r="Z28" i="3"/>
  <c r="Y28" i="3"/>
  <c r="V28" i="3"/>
  <c r="U28" i="3"/>
  <c r="S28" i="3"/>
  <c r="E28" i="3"/>
  <c r="G28" i="3" s="1"/>
  <c r="W28" i="3" s="1"/>
  <c r="A28" i="3"/>
  <c r="Z27" i="3"/>
  <c r="Y27" i="3"/>
  <c r="U27" i="3"/>
  <c r="S27" i="3"/>
  <c r="E27" i="3"/>
  <c r="V27" i="3" s="1"/>
  <c r="A27" i="3"/>
  <c r="Z26" i="3"/>
  <c r="Y26" i="3"/>
  <c r="U26" i="3"/>
  <c r="S26" i="3"/>
  <c r="E26" i="3"/>
  <c r="T26" i="3" s="1"/>
  <c r="A26" i="3"/>
  <c r="Z25" i="3"/>
  <c r="Y25" i="3"/>
  <c r="U25" i="3"/>
  <c r="T25" i="3"/>
  <c r="S25" i="3"/>
  <c r="E25" i="3"/>
  <c r="G25" i="3" s="1"/>
  <c r="W25" i="3" s="1"/>
  <c r="A25" i="3"/>
  <c r="Z24" i="3"/>
  <c r="Y24" i="3"/>
  <c r="V24" i="3"/>
  <c r="U24" i="3"/>
  <c r="T24" i="3"/>
  <c r="S24" i="3"/>
  <c r="G24" i="3"/>
  <c r="W24" i="3" s="1"/>
  <c r="E24" i="3"/>
  <c r="A24" i="3"/>
  <c r="Z23" i="3"/>
  <c r="Y23" i="3"/>
  <c r="U23" i="3"/>
  <c r="S23" i="3"/>
  <c r="E23" i="3"/>
  <c r="V23" i="3" s="1"/>
  <c r="A23" i="3"/>
  <c r="Z22" i="3"/>
  <c r="Y22" i="3"/>
  <c r="U22" i="3"/>
  <c r="S22" i="3"/>
  <c r="G22" i="3"/>
  <c r="W22" i="3" s="1"/>
  <c r="E22" i="3"/>
  <c r="T22" i="3" s="1"/>
  <c r="A22" i="3"/>
  <c r="Z21" i="3"/>
  <c r="Y21" i="3"/>
  <c r="U21" i="3"/>
  <c r="S21" i="3"/>
  <c r="E21" i="3"/>
  <c r="G21" i="3" s="1"/>
  <c r="W21" i="3" s="1"/>
  <c r="A21" i="3"/>
  <c r="Z20" i="3"/>
  <c r="Y20" i="3"/>
  <c r="U20" i="3"/>
  <c r="T20" i="3"/>
  <c r="S20" i="3"/>
  <c r="E20" i="3"/>
  <c r="V20" i="3" s="1"/>
  <c r="A20" i="3"/>
  <c r="Z19" i="3"/>
  <c r="Y19" i="3"/>
  <c r="U19" i="3"/>
  <c r="S19" i="3"/>
  <c r="E19" i="3"/>
  <c r="V19" i="3" s="1"/>
  <c r="A19" i="3"/>
  <c r="Z18" i="3"/>
  <c r="Y18" i="3"/>
  <c r="U18" i="3"/>
  <c r="S18" i="3"/>
  <c r="E18" i="3"/>
  <c r="T18" i="3" s="1"/>
  <c r="A18" i="3"/>
  <c r="Z17" i="3"/>
  <c r="Y17" i="3"/>
  <c r="U17" i="3"/>
  <c r="S17" i="3"/>
  <c r="E17" i="3"/>
  <c r="G17" i="3" s="1"/>
  <c r="W17" i="3" s="1"/>
  <c r="A17" i="3"/>
  <c r="Z16" i="3"/>
  <c r="E16" i="3"/>
  <c r="A16" i="3"/>
  <c r="S16" i="3" s="1"/>
  <c r="Z15" i="3"/>
  <c r="E15" i="3"/>
  <c r="A15" i="3"/>
  <c r="S15" i="3" s="1"/>
  <c r="Z14" i="3"/>
  <c r="E14" i="3"/>
  <c r="A14" i="3"/>
  <c r="S14" i="3" s="1"/>
  <c r="Z13" i="3"/>
  <c r="E13" i="3"/>
  <c r="G13" i="3" s="1"/>
  <c r="A13" i="3"/>
  <c r="S13" i="3" s="1"/>
  <c r="Z12" i="3"/>
  <c r="E12" i="3"/>
  <c r="A12" i="3"/>
  <c r="S12" i="3" s="1"/>
  <c r="Z11" i="3"/>
  <c r="E11" i="3"/>
  <c r="A11" i="3"/>
  <c r="S11" i="3" s="1"/>
  <c r="Z10" i="3"/>
  <c r="E10" i="3"/>
  <c r="G10" i="3" s="1"/>
  <c r="A10" i="3"/>
  <c r="S10" i="3" s="1"/>
  <c r="Z9" i="3"/>
  <c r="E9" i="3"/>
  <c r="T9" i="3" s="1"/>
  <c r="A9" i="3"/>
  <c r="S9" i="3" s="1"/>
  <c r="Z8" i="3"/>
  <c r="E8" i="3"/>
  <c r="A8" i="3"/>
  <c r="S8" i="3" s="1"/>
  <c r="Z7" i="3"/>
  <c r="Q7" i="3"/>
  <c r="E7" i="3"/>
  <c r="G7" i="3" s="1"/>
  <c r="A7" i="3"/>
  <c r="Z6" i="3"/>
  <c r="P6" i="3"/>
  <c r="S6" i="3" s="1"/>
  <c r="E6" i="3"/>
  <c r="G6" i="3" s="1"/>
  <c r="Y6" i="3" s="1"/>
  <c r="A6" i="3"/>
  <c r="K2" i="2"/>
  <c r="F10" i="2" s="1"/>
  <c r="H24" i="1"/>
  <c r="F24" i="1"/>
  <c r="C24" i="1"/>
  <c r="B24" i="1"/>
  <c r="H23" i="1"/>
  <c r="F23" i="1"/>
  <c r="C23" i="1"/>
  <c r="E23" i="1" s="1"/>
  <c r="B23" i="1"/>
  <c r="H22" i="1"/>
  <c r="F22" i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G16" i="3" l="1"/>
  <c r="T16" i="3"/>
  <c r="T14" i="3"/>
  <c r="T13" i="3"/>
  <c r="U13" i="3"/>
  <c r="W13" i="3" s="1"/>
  <c r="Y13" i="3"/>
  <c r="G20" i="3"/>
  <c r="W20" i="3" s="1"/>
  <c r="G26" i="3"/>
  <c r="W26" i="3" s="1"/>
  <c r="T28" i="3"/>
  <c r="G29" i="3"/>
  <c r="W29" i="3" s="1"/>
  <c r="G30" i="3"/>
  <c r="W30" i="3" s="1"/>
  <c r="T32" i="3"/>
  <c r="G33" i="3"/>
  <c r="W33" i="3" s="1"/>
  <c r="G34" i="3"/>
  <c r="W34" i="3" s="1"/>
  <c r="T36" i="3"/>
  <c r="G37" i="3"/>
  <c r="W37" i="3" s="1"/>
  <c r="G38" i="3"/>
  <c r="W38" i="3" s="1"/>
  <c r="T40" i="3"/>
  <c r="G41" i="3"/>
  <c r="W41" i="3" s="1"/>
  <c r="G42" i="3"/>
  <c r="W42" i="3" s="1"/>
  <c r="T44" i="3"/>
  <c r="G45" i="3"/>
  <c r="W45" i="3" s="1"/>
  <c r="G46" i="3"/>
  <c r="W46" i="3" s="1"/>
  <c r="T48" i="3"/>
  <c r="G49" i="3"/>
  <c r="W49" i="3" s="1"/>
  <c r="G50" i="3"/>
  <c r="W50" i="3" s="1"/>
  <c r="T52" i="3"/>
  <c r="G53" i="3"/>
  <c r="W53" i="3" s="1"/>
  <c r="G54" i="3"/>
  <c r="W54" i="3" s="1"/>
  <c r="T56" i="3"/>
  <c r="G57" i="3"/>
  <c r="W57" i="3" s="1"/>
  <c r="G64" i="3"/>
  <c r="W64" i="3" s="1"/>
  <c r="V73" i="3"/>
  <c r="V74" i="3"/>
  <c r="T90" i="3"/>
  <c r="G91" i="3"/>
  <c r="W91" i="3" s="1"/>
  <c r="T95" i="3"/>
  <c r="G107" i="3"/>
  <c r="W107" i="3" s="1"/>
  <c r="T111" i="3"/>
  <c r="G123" i="3"/>
  <c r="W123" i="3" s="1"/>
  <c r="T127" i="3"/>
  <c r="G139" i="3"/>
  <c r="W139" i="3" s="1"/>
  <c r="T143" i="3"/>
  <c r="G155" i="3"/>
  <c r="W155" i="3" s="1"/>
  <c r="T159" i="3"/>
  <c r="V167" i="3"/>
  <c r="V171" i="3"/>
  <c r="G178" i="3"/>
  <c r="W178" i="3" s="1"/>
  <c r="T190" i="3"/>
  <c r="G191" i="3"/>
  <c r="W191" i="3" s="1"/>
  <c r="T194" i="3"/>
  <c r="G195" i="3"/>
  <c r="W195" i="3" s="1"/>
  <c r="T198" i="3"/>
  <c r="G199" i="3"/>
  <c r="W199" i="3" s="1"/>
  <c r="T202" i="3"/>
  <c r="G203" i="3"/>
  <c r="W203" i="3" s="1"/>
  <c r="S7" i="3"/>
  <c r="T7" i="3" s="1"/>
  <c r="U10" i="3"/>
  <c r="G18" i="3"/>
  <c r="W18" i="3" s="1"/>
  <c r="G62" i="3"/>
  <c r="W62" i="3" s="1"/>
  <c r="G65" i="3"/>
  <c r="W65" i="3" s="1"/>
  <c r="G72" i="3"/>
  <c r="W72" i="3" s="1"/>
  <c r="G103" i="3"/>
  <c r="W103" i="3" s="1"/>
  <c r="G119" i="3"/>
  <c r="W119" i="3" s="1"/>
  <c r="G135" i="3"/>
  <c r="W135" i="3" s="1"/>
  <c r="G151" i="3"/>
  <c r="W151" i="3" s="1"/>
  <c r="G170" i="3"/>
  <c r="W170" i="3" s="1"/>
  <c r="G179" i="3"/>
  <c r="W179" i="3" s="1"/>
  <c r="G14" i="3"/>
  <c r="T21" i="3"/>
  <c r="V26" i="3"/>
  <c r="V30" i="3"/>
  <c r="V34" i="3"/>
  <c r="V38" i="3"/>
  <c r="G66" i="3"/>
  <c r="W66" i="3" s="1"/>
  <c r="G69" i="3"/>
  <c r="W69" i="3" s="1"/>
  <c r="G76" i="3"/>
  <c r="W76" i="3" s="1"/>
  <c r="T102" i="3"/>
  <c r="T118" i="3"/>
  <c r="V122" i="3"/>
  <c r="T134" i="3"/>
  <c r="V138" i="3"/>
  <c r="T150" i="3"/>
  <c r="V154" i="3"/>
  <c r="G175" i="3"/>
  <c r="W175" i="3" s="1"/>
  <c r="T17" i="3"/>
  <c r="V22" i="3"/>
  <c r="V58" i="3"/>
  <c r="T65" i="3"/>
  <c r="G70" i="3"/>
  <c r="W70" i="3" s="1"/>
  <c r="T72" i="3"/>
  <c r="G73" i="3"/>
  <c r="W73" i="3" s="1"/>
  <c r="V86" i="3"/>
  <c r="G99" i="3"/>
  <c r="W99" i="3" s="1"/>
  <c r="T103" i="3"/>
  <c r="G115" i="3"/>
  <c r="W115" i="3" s="1"/>
  <c r="T119" i="3"/>
  <c r="G131" i="3"/>
  <c r="W131" i="3" s="1"/>
  <c r="T135" i="3"/>
  <c r="G147" i="3"/>
  <c r="W147" i="3" s="1"/>
  <c r="T151" i="3"/>
  <c r="T166" i="3"/>
  <c r="G167" i="3"/>
  <c r="W167" i="3" s="1"/>
  <c r="T170" i="3"/>
  <c r="G171" i="3"/>
  <c r="W171" i="3" s="1"/>
  <c r="T179" i="3"/>
  <c r="U6" i="3"/>
  <c r="V18" i="3"/>
  <c r="V62" i="3"/>
  <c r="T69" i="3"/>
  <c r="T76" i="3"/>
  <c r="V102" i="3"/>
  <c r="V118" i="3"/>
  <c r="V134" i="3"/>
  <c r="V150" i="3"/>
  <c r="T175" i="3"/>
  <c r="V66" i="3"/>
  <c r="G95" i="3"/>
  <c r="W95" i="3" s="1"/>
  <c r="T99" i="3"/>
  <c r="G111" i="3"/>
  <c r="W111" i="3" s="1"/>
  <c r="T115" i="3"/>
  <c r="G127" i="3"/>
  <c r="W127" i="3" s="1"/>
  <c r="T131" i="3"/>
  <c r="G143" i="3"/>
  <c r="W143" i="3" s="1"/>
  <c r="T147" i="3"/>
  <c r="V166" i="3"/>
  <c r="V70" i="3"/>
  <c r="T78" i="3"/>
  <c r="T94" i="3"/>
  <c r="V98" i="3"/>
  <c r="T110" i="3"/>
  <c r="V114" i="3"/>
  <c r="T126" i="3"/>
  <c r="T142" i="3"/>
  <c r="T158" i="3"/>
  <c r="G5" i="2"/>
  <c r="G6" i="2"/>
  <c r="G7" i="2"/>
  <c r="G8" i="2"/>
  <c r="G9" i="2"/>
  <c r="G10" i="2"/>
  <c r="G12" i="3"/>
  <c r="T12" i="3"/>
  <c r="T11" i="3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D23" i="1"/>
  <c r="J5" i="2"/>
  <c r="J7" i="2"/>
  <c r="J9" i="2"/>
  <c r="J10" i="2" s="1"/>
  <c r="V160" i="3"/>
  <c r="T160" i="3"/>
  <c r="T173" i="3"/>
  <c r="G173" i="3"/>
  <c r="W173" i="3" s="1"/>
  <c r="V196" i="3"/>
  <c r="T196" i="3"/>
  <c r="G196" i="3"/>
  <c r="W196" i="3" s="1"/>
  <c r="D15" i="1"/>
  <c r="D16" i="1"/>
  <c r="D24" i="1"/>
  <c r="A5" i="2"/>
  <c r="A6" i="2"/>
  <c r="A7" i="2"/>
  <c r="A8" i="2"/>
  <c r="A9" i="2"/>
  <c r="A10" i="2"/>
  <c r="G79" i="3"/>
  <c r="W79" i="3" s="1"/>
  <c r="V80" i="3"/>
  <c r="T80" i="3"/>
  <c r="T81" i="3"/>
  <c r="G81" i="3"/>
  <c r="W81" i="3" s="1"/>
  <c r="G160" i="3"/>
  <c r="W160" i="3" s="1"/>
  <c r="V164" i="3"/>
  <c r="T164" i="3"/>
  <c r="G164" i="3"/>
  <c r="W164" i="3" s="1"/>
  <c r="V168" i="3"/>
  <c r="T168" i="3"/>
  <c r="G168" i="3"/>
  <c r="W168" i="3" s="1"/>
  <c r="T177" i="3"/>
  <c r="G177" i="3"/>
  <c r="W177" i="3" s="1"/>
  <c r="V200" i="3"/>
  <c r="T200" i="3"/>
  <c r="G200" i="3"/>
  <c r="W200" i="3" s="1"/>
  <c r="E16" i="1"/>
  <c r="D17" i="1"/>
  <c r="B5" i="2"/>
  <c r="B6" i="2"/>
  <c r="B7" i="2"/>
  <c r="B8" i="2"/>
  <c r="B9" i="2"/>
  <c r="B10" i="2"/>
  <c r="G8" i="3"/>
  <c r="V10" i="3"/>
  <c r="G15" i="3"/>
  <c r="V17" i="3"/>
  <c r="G19" i="3"/>
  <c r="W19" i="3" s="1"/>
  <c r="V21" i="3"/>
  <c r="G23" i="3"/>
  <c r="W23" i="3" s="1"/>
  <c r="V25" i="3"/>
  <c r="G27" i="3"/>
  <c r="W27" i="3" s="1"/>
  <c r="G31" i="3"/>
  <c r="W31" i="3" s="1"/>
  <c r="G35" i="3"/>
  <c r="W35" i="3" s="1"/>
  <c r="G39" i="3"/>
  <c r="W39" i="3" s="1"/>
  <c r="G43" i="3"/>
  <c r="W43" i="3" s="1"/>
  <c r="G47" i="3"/>
  <c r="W47" i="3" s="1"/>
  <c r="G51" i="3"/>
  <c r="W51" i="3" s="1"/>
  <c r="G55" i="3"/>
  <c r="W55" i="3" s="1"/>
  <c r="G59" i="3"/>
  <c r="W59" i="3" s="1"/>
  <c r="G63" i="3"/>
  <c r="W63" i="3" s="1"/>
  <c r="G67" i="3"/>
  <c r="W67" i="3" s="1"/>
  <c r="G71" i="3"/>
  <c r="W71" i="3" s="1"/>
  <c r="G75" i="3"/>
  <c r="W75" i="3" s="1"/>
  <c r="G80" i="3"/>
  <c r="W80" i="3" s="1"/>
  <c r="V172" i="3"/>
  <c r="T172" i="3"/>
  <c r="G172" i="3"/>
  <c r="W172" i="3" s="1"/>
  <c r="T181" i="3"/>
  <c r="G181" i="3"/>
  <c r="W181" i="3" s="1"/>
  <c r="C5" i="2"/>
  <c r="C6" i="2"/>
  <c r="C7" i="2"/>
  <c r="C8" i="2"/>
  <c r="C9" i="2"/>
  <c r="C10" i="2"/>
  <c r="V78" i="3"/>
  <c r="T79" i="3"/>
  <c r="T82" i="3"/>
  <c r="G83" i="3"/>
  <c r="W83" i="3" s="1"/>
  <c r="V84" i="3"/>
  <c r="T84" i="3"/>
  <c r="T85" i="3"/>
  <c r="G85" i="3"/>
  <c r="W85" i="3" s="1"/>
  <c r="V173" i="3"/>
  <c r="V176" i="3"/>
  <c r="T176" i="3"/>
  <c r="G176" i="3"/>
  <c r="W176" i="3" s="1"/>
  <c r="T185" i="3"/>
  <c r="G185" i="3"/>
  <c r="W185" i="3" s="1"/>
  <c r="B5" i="1"/>
  <c r="D5" i="2"/>
  <c r="D6" i="2"/>
  <c r="D7" i="2"/>
  <c r="D8" i="2"/>
  <c r="D9" i="2"/>
  <c r="D10" i="2"/>
  <c r="T8" i="3"/>
  <c r="T15" i="3"/>
  <c r="T19" i="3"/>
  <c r="T23" i="3"/>
  <c r="T27" i="3"/>
  <c r="T31" i="3"/>
  <c r="T35" i="3"/>
  <c r="T39" i="3"/>
  <c r="T43" i="3"/>
  <c r="T47" i="3"/>
  <c r="T51" i="3"/>
  <c r="T55" i="3"/>
  <c r="T59" i="3"/>
  <c r="T63" i="3"/>
  <c r="T67" i="3"/>
  <c r="T71" i="3"/>
  <c r="T75" i="3"/>
  <c r="V81" i="3"/>
  <c r="V177" i="3"/>
  <c r="V180" i="3"/>
  <c r="T180" i="3"/>
  <c r="G180" i="3"/>
  <c r="W180" i="3" s="1"/>
  <c r="T189" i="3"/>
  <c r="G189" i="3"/>
  <c r="W189" i="3" s="1"/>
  <c r="E5" i="2"/>
  <c r="E6" i="2"/>
  <c r="E7" i="2"/>
  <c r="E8" i="2"/>
  <c r="E9" i="2"/>
  <c r="E10" i="2"/>
  <c r="V82" i="3"/>
  <c r="T83" i="3"/>
  <c r="T86" i="3"/>
  <c r="G87" i="3"/>
  <c r="W87" i="3" s="1"/>
  <c r="V88" i="3"/>
  <c r="T88" i="3"/>
  <c r="T89" i="3"/>
  <c r="G89" i="3"/>
  <c r="W89" i="3" s="1"/>
  <c r="V181" i="3"/>
  <c r="V184" i="3"/>
  <c r="T184" i="3"/>
  <c r="G184" i="3"/>
  <c r="W184" i="3" s="1"/>
  <c r="T193" i="3"/>
  <c r="G193" i="3"/>
  <c r="W193" i="3" s="1"/>
  <c r="F5" i="2"/>
  <c r="F6" i="2"/>
  <c r="F7" i="2"/>
  <c r="F8" i="2"/>
  <c r="F9" i="2"/>
  <c r="V92" i="3"/>
  <c r="T92" i="3"/>
  <c r="T93" i="3"/>
  <c r="G93" i="3"/>
  <c r="W93" i="3" s="1"/>
  <c r="T97" i="3"/>
  <c r="G97" i="3"/>
  <c r="W97" i="3" s="1"/>
  <c r="T101" i="3"/>
  <c r="G101" i="3"/>
  <c r="W101" i="3" s="1"/>
  <c r="T105" i="3"/>
  <c r="G105" i="3"/>
  <c r="W105" i="3" s="1"/>
  <c r="T109" i="3"/>
  <c r="G109" i="3"/>
  <c r="W109" i="3" s="1"/>
  <c r="T113" i="3"/>
  <c r="G113" i="3"/>
  <c r="W113" i="3" s="1"/>
  <c r="T117" i="3"/>
  <c r="G117" i="3"/>
  <c r="W117" i="3" s="1"/>
  <c r="T121" i="3"/>
  <c r="G121" i="3"/>
  <c r="W121" i="3" s="1"/>
  <c r="T125" i="3"/>
  <c r="G125" i="3"/>
  <c r="W125" i="3" s="1"/>
  <c r="T129" i="3"/>
  <c r="G129" i="3"/>
  <c r="W129" i="3" s="1"/>
  <c r="T133" i="3"/>
  <c r="G133" i="3"/>
  <c r="W133" i="3" s="1"/>
  <c r="T137" i="3"/>
  <c r="G137" i="3"/>
  <c r="W137" i="3" s="1"/>
  <c r="T141" i="3"/>
  <c r="G141" i="3"/>
  <c r="W141" i="3" s="1"/>
  <c r="T145" i="3"/>
  <c r="G145" i="3"/>
  <c r="W145" i="3" s="1"/>
  <c r="T149" i="3"/>
  <c r="G149" i="3"/>
  <c r="W149" i="3" s="1"/>
  <c r="T153" i="3"/>
  <c r="G153" i="3"/>
  <c r="W153" i="3" s="1"/>
  <c r="T157" i="3"/>
  <c r="G157" i="3"/>
  <c r="W157" i="3" s="1"/>
  <c r="V188" i="3"/>
  <c r="T188" i="3"/>
  <c r="G188" i="3"/>
  <c r="W188" i="3" s="1"/>
  <c r="T197" i="3"/>
  <c r="G197" i="3"/>
  <c r="W197" i="3" s="1"/>
  <c r="T87" i="3"/>
  <c r="V96" i="3"/>
  <c r="T96" i="3"/>
  <c r="V100" i="3"/>
  <c r="T100" i="3"/>
  <c r="V104" i="3"/>
  <c r="T104" i="3"/>
  <c r="V108" i="3"/>
  <c r="T108" i="3"/>
  <c r="V112" i="3"/>
  <c r="T112" i="3"/>
  <c r="V116" i="3"/>
  <c r="T116" i="3"/>
  <c r="V120" i="3"/>
  <c r="T120" i="3"/>
  <c r="V124" i="3"/>
  <c r="T124" i="3"/>
  <c r="V128" i="3"/>
  <c r="T128" i="3"/>
  <c r="V132" i="3"/>
  <c r="T132" i="3"/>
  <c r="V136" i="3"/>
  <c r="T136" i="3"/>
  <c r="V140" i="3"/>
  <c r="T140" i="3"/>
  <c r="V144" i="3"/>
  <c r="T144" i="3"/>
  <c r="V148" i="3"/>
  <c r="T148" i="3"/>
  <c r="V152" i="3"/>
  <c r="T152" i="3"/>
  <c r="V156" i="3"/>
  <c r="T156" i="3"/>
  <c r="T161" i="3"/>
  <c r="G161" i="3"/>
  <c r="W161" i="3" s="1"/>
  <c r="T165" i="3"/>
  <c r="G165" i="3"/>
  <c r="W165" i="3" s="1"/>
  <c r="T169" i="3"/>
  <c r="G169" i="3"/>
  <c r="W169" i="3" s="1"/>
  <c r="V189" i="3"/>
  <c r="V192" i="3"/>
  <c r="T192" i="3"/>
  <c r="G192" i="3"/>
  <c r="W192" i="3" s="1"/>
  <c r="T201" i="3"/>
  <c r="G201" i="3"/>
  <c r="W201" i="3" s="1"/>
  <c r="K8" i="1" l="1"/>
  <c r="Y16" i="3"/>
  <c r="U16" i="3"/>
  <c r="V16" i="3" s="1"/>
  <c r="W15" i="3"/>
  <c r="Y15" i="3"/>
  <c r="U15" i="3"/>
  <c r="V15" i="3" s="1"/>
  <c r="U14" i="3"/>
  <c r="W14" i="3" s="1"/>
  <c r="Y14" i="3"/>
  <c r="V13" i="3"/>
  <c r="J6" i="2"/>
  <c r="J8" i="2" s="1"/>
  <c r="U7" i="3"/>
  <c r="V7" i="3" s="1"/>
  <c r="U12" i="3"/>
  <c r="V12" i="3" s="1"/>
  <c r="Y12" i="3"/>
  <c r="U11" i="3"/>
  <c r="V11" i="3" s="1"/>
  <c r="Y11" i="3"/>
  <c r="E8" i="1"/>
  <c r="U9" i="3"/>
  <c r="V9" i="3" s="1"/>
  <c r="Y9" i="3"/>
  <c r="W9" i="3"/>
  <c r="W8" i="3"/>
  <c r="U8" i="3"/>
  <c r="V8" i="3" s="1"/>
  <c r="Y8" i="3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J23" i="1" s="1"/>
  <c r="G15" i="1"/>
  <c r="I15" i="1" s="1"/>
  <c r="G22" i="1"/>
  <c r="I22" i="1" s="1"/>
  <c r="J22" i="1" s="1"/>
  <c r="G14" i="1"/>
  <c r="I14" i="1" s="1"/>
  <c r="G20" i="1"/>
  <c r="I20" i="1" s="1"/>
  <c r="G21" i="1"/>
  <c r="I21" i="1" s="1"/>
  <c r="J21" i="1" s="1"/>
  <c r="W16" i="3" l="1"/>
  <c r="W7" i="3"/>
  <c r="N3" i="1"/>
  <c r="V14" i="3"/>
  <c r="W12" i="3"/>
  <c r="W11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<sst xmlns="http://schemas.openxmlformats.org/spreadsheetml/2006/main" count="216" uniqueCount="134">
  <si>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</si>
  <si>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</si>
  <si>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</si>
  <si>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</si>
  <si>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</si>
  <si>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</si>
  <si>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</si>
  <si>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</si>
  <si>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</si>
  <si>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</si>
  <si>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</si>
  <si>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</si>
  <si>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</si>
  <si>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</si>
  <si>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</si>
  <si>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</si>
  <si>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</si>
  <si>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</si>
  <si>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</si>
  <si>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</si>
  <si>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</si>
  <si>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</si>
  <si>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</si>
  <si>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</si>
  <si>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</si>
  <si>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</si>
  <si>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</si>
  <si>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</si>
  <si>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</si>
  <si>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</si>
  <si>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</si>
  <si>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</si>
  <si>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</si>
  <si>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</si>
  <si>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</si>
  <si>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</si>
  <si>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</si>
  <si>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</si>
  <si>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</si>
  <si>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</si>
  <si>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</si>
  <si>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</si>
  <si>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</si>
  <si>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</si>
  <si>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</si>
  <si>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</si>
  <si>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</si>
  <si>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</si>
  <si>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</si>
  <si>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</si>
  <si>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</si>
  <si>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</si>
  <si>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</si>
  <si>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</si>
  <si>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</si>
  <si>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</si>
  <si>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</si>
  <si>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</si>
  <si>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</si>
  <si>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</si>
  <si>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</si>
  <si>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</si>
  <si>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</si>
  <si>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</si>
  <si>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</si>
  <si>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</si>
  <si>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</si>
  <si>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</si>
  <si>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</si>
  <si>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</si>
  <si>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</si>
  <si>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</si>
  <si>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</si>
  <si>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</si>
  <si>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</si>
  <si>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</si>
  <si>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</si>
  <si>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</si>
  <si>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</si>
  <si>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</si>
  <si>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</si>
  <si>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</si>
  <si>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</si>
  <si>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</si>
  <si>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</si>
  <si>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</si>
  <si>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</si>
  <si>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</si>
  <si>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</si>
  <si>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</si>
  <si>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</si>
  <si>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</si>
  <si>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</si>
  <si>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</si>
  <si>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</si>
  <si>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</si>
  <si>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</si>
  <si>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</si>
  <si>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</si>
  <si>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</si>
  <si>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</si>
  <si>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</si>
  <si>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</si>
  <si>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</si>
  <si>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</si>
  <si>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</si>
  <si>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</si>
  <si>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</si>
  <si>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</si>
  <si>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</si>
  <si>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</si>
  <si>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</si>
  <si>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</si>
  <si>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</si>
  <si>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</si>
  <si>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</si>
  <si>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</si>
  <si>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</si>
  <si>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</si>
  <si>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</si>
  <si>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</si>
  <si>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</si>
  <si>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</si>
  <si>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</si>
  <si>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</si>
  <si>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Luiz Moran</t>
  </si>
  <si>
    <t>Rodrigo Sengik</t>
  </si>
  <si>
    <t>Gean Michel</t>
  </si>
  <si>
    <t>Renan Brito</t>
  </si>
  <si>
    <t>Nicole</t>
  </si>
  <si>
    <t>Adultos</t>
  </si>
  <si>
    <t>Crinças</t>
  </si>
  <si>
    <t>Total</t>
  </si>
  <si>
    <t>Média de pessoas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</si>
</sst>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b/>
      <sz val="12"/>
      <name val="Carlito"/>
    </font>
    <font>
      <b/>
      <sz val="14"/>
      <color rgb="FFFFFFFF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2" fillId="14" borderId="0" xfId="0" applyFont="1" applyFill="1" applyBorder="1" applyAlignment="1">
      <alignment horizontal="center" vertical="center" wrapText="1"/>
    </xf>
    <xf numFmtId="0" fontId="21" fillId="0" borderId="0" xfId="0" applyFont="1"/>
    <xf numFmtId="0" fontId="22" fillId="14" borderId="0" xfId="0" applyFont="1" applyFill="1" applyBorder="1" applyAlignment="1">
      <alignment horizontal="center" vertical="center" wrapText="1"/>
    </xf>
    <xf numFmtId="0" fontId="12" fillId="16" borderId="0" xfId="0" applyFont="1" applyFill="1" applyAlignment="1">
      <alignment horizontal="center"/>
    </xf>
    <xf numFmtId="1" fontId="19" fillId="16" borderId="0" xfId="0" applyNumberFormat="1" applyFont="1" applyFill="1"/>
  </cellXfs>
  <cellStyles count="1">
    <cellStyle name="Normal" xfId="0" builtinId="0"/>
  </cellStyles>
  <dxfs count="35">
    <dxf>
      <font>
        <color rgb="FF9C0006"/>
      </font>
      <fill>
        <patternFill patternType="solid">
          <fgColor indexed="64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color rgb="FF006100"/>
      </font>
      <fill>
        <patternFill patternType="solid">
          <fgColor indexed="64"/>
          <bgColor rgb="FF0BFDA1"/>
        </patternFill>
      </fill>
    </dxf>
    <dxf>
      <font>
        <color rgb="FF9C0006"/>
      </font>
      <fill>
        <patternFill patternType="solid">
          <fgColor indexed="64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colors>
    <mruColors>
      <color rgb="FF0BFD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BB5BD9A-1AF1-D6AD-C283-F10B0EA3155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144780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0208B951-C458-B4D4-08A2-91F81056C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8611162F-0121-6A1A-833C-07E1D2F78A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E6967FB-5C55-2D6B-DA65-B62DB5F27EC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50A861-FA72-4064-8EEF-5CEC8BDCA670}">
  <we:reference id="wa200010215" version="2.0.0.1" store="pt-BR" storeType="OMEX"/>
  <we:alternateReferences>
    <we:reference id="wa200010215" version="2.0.0.1" store="" storeType="OMEX"/>
  </we:alternateReferences>
  <we:properties>
    <we:property name="bps.codex_control.document_id" value="&quot;8401cfb1-6d6c-45cb-8519-65ab4be3144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opLeftCell="D1" workbookViewId="0">
      <selection activeCell="L23" sqref="L23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21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3.25">
      <c r="A3" s="1" t="s">
        <v>1</v>
      </c>
      <c r="B3" s="7">
        <v>2026</v>
      </c>
      <c r="M3" s="86" t="s">
        <v>2</v>
      </c>
      <c r="N3" s="85">
        <f>SUMIFS(RESERVAS!$U$6:$U$203,RESERVAS!$I$6:$I$203,"&lt;&gt;Cancelada",RESERVAS!$I$6:$I$203,"&lt;&gt;Consulta")</f>
        <v>44209.619999999995</v>
      </c>
    </row>
    <row r="5" spans="1:14" ht="20.25">
      <c r="A5" s="8" t="s">
        <v>3</v>
      </c>
      <c r="B5" s="9">
        <f>SUM(F13:F24)</f>
        <v>28541.67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28509.62</v>
      </c>
    </row>
    <row r="8" spans="1:14" ht="15.75">
      <c r="A8" s="8" t="s">
        <v>7</v>
      </c>
      <c r="B8" s="12">
        <f>SUM(C13:C24)</f>
        <v>53</v>
      </c>
      <c r="C8" s="14"/>
      <c r="D8" s="74" t="s">
        <v>8</v>
      </c>
      <c r="E8" s="12">
        <f>SUM(D13:D24)</f>
        <v>677</v>
      </c>
      <c r="G8" s="8" t="s">
        <v>9</v>
      </c>
      <c r="H8" s="13">
        <f>IF(SUM(B13:B24)=0,0,SUM(C13:C24)/SUM(B13:B24))</f>
        <v>7.260273972602739E-2</v>
      </c>
      <c r="J8" s="8" t="s">
        <v>10</v>
      </c>
      <c r="K8" s="10">
        <f>IF(B8=0,0,B5/B8)</f>
        <v>538.52207547169803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7" t="s">
        <v>18</v>
      </c>
      <c r="M12" s="97"/>
      <c r="N12" s="97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$203&lt;DATE($B$3,2,1))*(RESERVAS!$D$6:$D$203&gt;DATE($B$3,1,1))*(RESERVAS!$I$6:$I$203&lt;&gt;"Cancelada")*(RESERVAS!$I$6:$I$203&lt;&gt;"Consulta")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$203&lt;DATE($B$3,2,1))*(RESERVAS!$D$6:$D$203&gt;DATE($B$3,1,1))*(RESERVAS!$I$6:$I$203&lt;&gt;"Cancelada")*(RESERVAS!$I$6:$I$203&lt;&gt;"Consulta")*RESERVAS!$F$6:$F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G13" s="5">
        <f>SUMPRODUCT((RESERVAS!$C$6:$C$203&lt;DATE($B$3,2,1))*(RESERVAS!$D$6:$D$203&gt;DATE($B$3,1,1))*(RESERVAS!$I$6:$I$203&lt;&gt;"Cancelada")*(RESERVAS!$I$6:$I$203&lt;&gt;"Consulta")*RESERVAS!$T$6:$T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$203&lt;DATE($B$3,3,1))*(RESERVAS!$D$6:$D$203&gt;DATE($B$3,2,1))*(RESERVAS!$I$6:$I$203&lt;&gt;"Cancelada")*(RESERVAS!$I$6:$I$203&lt;&gt;"Consulta")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$203&lt;DATE($B$3,3,1))*(RESERVAS!$D$6:$D$203&gt;DATE($B$3,2,1))*(RESERVAS!$I$6:$I$203&lt;&gt;"Cancelada")*(RESERVAS!$I$6:$I$203&lt;&gt;"Consulta")*RESERVAS!$F$6:$F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G14" s="5">
        <f>SUMPRODUCT((RESERVAS!$C$6:$C$203&lt;DATE($B$3,3,1))*(RESERVAS!$D$6:$D$203&gt;DATE($B$3,2,1))*(RESERVAS!$I$6:$I$203&lt;&gt;"Cancelada")*(RESERVAS!$I$6:$I$203&lt;&gt;"Consulta")*RESERVAS!$T$6:$T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$203&lt;DATE($B$3,4,1))*(RESERVAS!$D$6:$D$203&gt;DATE($B$3,3,1))*(RESERVAS!$I$6:$I$203&lt;&gt;"Cancelada")*(RESERVAS!$I$6:$I$203&lt;&gt;"Consulta")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$203&lt;DATE($B$3,4,1))*(RESERVAS!$D$6:$D$203&gt;DATE($B$3,3,1))*(RESERVAS!$I$6:$I$203&lt;&gt;"Cancelada")*(RESERVAS!$I$6:$I$203&lt;&gt;"Consulta")*RESERVAS!$F$6:$F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G15" s="5">
        <f>SUMPRODUCT((RESERVAS!$C$6:$C$203&lt;DATE($B$3,4,1))*(RESERVAS!$D$6:$D$203&gt;DATE($B$3,3,1))*(RESERVAS!$I$6:$I$203&lt;&gt;"Cancelada")*(RESERVAS!$I$6:$I$203&lt;&gt;"Consulta")*RESERVAS!$T$6:$T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$203&lt;DATE($B$3,5,1))*(RESERVAS!$D$6:$D$203&gt;DATE($B$3,4,1))*(RESERVAS!$I$6:$I$203&lt;&gt;"Cancelada")*(RESERVAS!$I$6:$I$203&lt;&gt;"Consulta")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$203&lt;DATE($B$3,5,1))*(RESERVAS!$D$6:$D$203&gt;DATE($B$3,4,1))*(RESERVAS!$I$6:$I$203&lt;&gt;"Cancelada")*(RESERVAS!$I$6:$I$203&lt;&gt;"Consulta")*RESERVAS!$F$6:$F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G16" s="5">
        <f>SUMPRODUCT((RESERVAS!$C$6:$C$203&lt;DATE($B$3,5,1))*(RESERVAS!$D$6:$D$203&gt;DATE($B$3,4,1))*(RESERVAS!$I$6:$I$203&lt;&gt;"Cancelada")*(RESERVAS!$I$6:$I$203&lt;&gt;"Consulta")*RESERVAS!$T$6:$T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$203&lt;DATE($B$3,6,1))*(RESERVAS!$D$6:$D$203&gt;DATE($B$3,5,1))*(RESERVAS!$I$6:$I$203&lt;&gt;"Cancelada")*(RESERVAS!$I$6:$I$203&lt;&gt;"Consulta")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$203&lt;DATE($B$3,6,1))*(RESERVAS!$D$6:$D$203&gt;DATE($B$3,5,1))*(RESERVAS!$I$6:$I$203&lt;&gt;"Cancelada")*(RESERVAS!$I$6:$I$203&lt;&gt;"Consulta")*RESERVAS!$F$6:$F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G17" s="5">
        <f>SUMPRODUCT((RESERVAS!$C$6:$C$203&lt;DATE($B$3,6,1))*(RESERVAS!$D$6:$D$203&gt;DATE($B$3,5,1))*(RESERVAS!$I$6:$I$203&lt;&gt;"Cancelada")*(RESERVAS!$I$6:$I$203&lt;&gt;"Consulta")*RESERVAS!$T$6:$T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$203&lt;DATE($B$3,7,1))*(RESERVAS!$D$6:$D$203&gt;DATE($B$3,6,1))*(RESERVAS!$I$6:$I$203&lt;&gt;"Cancelada")*(RESERVAS!$I$6:$I$203&lt;&gt;"Consulta")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$203&lt;DATE($B$3,7,1))*(RESERVAS!$D$6:$D$203&gt;DATE($B$3,6,1))*(RESERVAS!$I$6:$I$203&lt;&gt;"Cancelada")*(RESERVAS!$I$6:$I$203&lt;&gt;"Consulta")*RESERVAS!$F$6:$F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G18" s="5">
        <f>SUMPRODUCT((RESERVAS!$C$6:$C$203&lt;DATE($B$3,7,1))*(RESERVAS!$D$6:$D$203&gt;DATE($B$3,6,1))*(RESERVAS!$I$6:$I$203&lt;&gt;"Cancelada")*(RESERVAS!$I$6:$I$203&lt;&gt;"Consulta")*RESERVAS!$T$6:$T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$203&lt;DATE($B$3,8,1))*(RESERVAS!$D$6:$D$203&gt;DATE($B$3,7,1))*(RESERVAS!$I$6:$I$203&lt;&gt;"Cancelada")*(RESERVAS!$I$6:$I$203&lt;&gt;"Consulta")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$203&lt;DATE($B$3,8,1))*(RESERVAS!$D$6:$D$203&gt;DATE($B$3,7,1))*(RESERVAS!$I$6:$I$203&lt;&gt;"Cancelada")*(RESERVAS!$I$6:$I$203&lt;&gt;"Consulta")*RESERVAS!$F$6:$F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G19" s="5">
        <f>SUMPRODUCT((RESERVAS!$C$6:$C$203&lt;DATE($B$3,8,1))*(RESERVAS!$D$6:$D$203&gt;DATE($B$3,7,1))*(RESERVAS!$I$6:$I$203&lt;&gt;"Cancelada")*(RESERVAS!$I$6:$I$203&lt;&gt;"Consulta")*RESERVAS!$T$6:$T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$203&lt;DATE($B$3,9,1))*(RESERVAS!$D$6:$D$203&gt;DATE($B$3,8,1))*(RESERVAS!$I$6:$I$203&lt;&gt;"Cancelada")*(RESERVAS!$I$6:$I$203&lt;&gt;"Consulta")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$203&lt;DATE($B$3,9,1))*(RESERVAS!$D$6:$D$203&gt;DATE($B$3,8,1))*(RESERVAS!$I$6:$I$203&lt;&gt;"Cancelada")*(RESERVAS!$I$6:$I$203&lt;&gt;"Consulta")*RESERVAS!$F$6:$F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G20" s="5">
        <f>SUMPRODUCT((RESERVAS!$C$6:$C$203&lt;DATE($B$3,9,1))*(RESERVAS!$D$6:$D$203&gt;DATE($B$3,8,1))*(RESERVAS!$I$6:$I$203&lt;&gt;"Cancelada")*(RESERVAS!$I$6:$I$203&lt;&gt;"Consulta")*RESERVAS!$T$6:$T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$203&lt;DATE($B$3,10,1))*(RESERVAS!$D$6:$D$203&gt;DATE($B$3,9,1))*(RESERVAS!$I$6:$I$203&lt;&gt;"Cancelada")*(RESERVAS!$I$6:$I$203&lt;&gt;"Consulta")*(((RESERVAS!$D$6:$D$203&lt;DATE($B$3,10,1))*RESERVAS!$D$6:$D$203+(RESERVAS!$D$6:$D$203&gt;=DATE($B$3,10,1))*DATE($B$3,10,1))-((RESERVAS!$C$6:$C$203&gt;DATE($B$3,9,1))*RESERVAS!$C$6:$C$203+(RESERVAS!$C$6:$C$203&lt;=DATE($B$3,9,1))*DATE($B$3,9,1))))</f>
        <v>8</v>
      </c>
      <c r="D21" s="89">
        <f t="shared" si="0"/>
        <v>52</v>
      </c>
      <c r="E21" s="6">
        <f t="shared" si="1"/>
        <v>0.13333333333333333</v>
      </c>
      <c r="F21" s="5">
        <f>SUMPRODUCT((RESERVAS!$C$6:$C$203&lt;DATE($B$3,10,1))*(RESERVAS!$D$6:$D$203&gt;DATE($B$3,9,1))*(RESERVAS!$I$6:$I$203&lt;&gt;"Cancelada")*(RESERVAS!$I$6:$I$203&lt;&gt;"Consulta")*RESERVAS!$F$6:$F$203*(((RESERVAS!$D$6:$D$203&lt;DATE($B$3,10,1))*RESERVAS!$D$6:$D$203+(RESERVAS!$D$6:$D$203&gt;=DATE($B$3,10,1))*DATE($B$3,10,1))-((RESERVAS!$C$6:$C$203&gt;DATE($B$3,9,1))*RESERVAS!$C$6:$C$203+(RESERVAS!$C$6:$C$203&lt;=DATE($B$3,9,1))*DATE($B$3,9,1))))</f>
        <v>2800</v>
      </c>
      <c r="G21" s="5">
        <f>SUMPRODUCT((RESERVAS!$C$6:$C$203&lt;DATE($B$3,10,1))*(RESERVAS!$D$6:$D$203&gt;DATE($B$3,9,1))*(RESERVAS!$I$6:$I$203&lt;&gt;"Cancelada")*(RESERVAS!$I$6:$I$203&lt;&gt;"Consulta")*RESERVAS!$T$6:$T$203*(((RESERVAS!$D$6:$D$203&lt;DATE($B$3,10,1))*RESERVAS!$D$6:$D$203+(RESERVAS!$D$6:$D$203&gt;=DATE($B$3,10,1))*DATE($B$3,10,1))-((RESERVAS!$C$6:$C$203&gt;DATE($B$3,9,1))*RESERVAS!$C$6:$C$203+(RESERVAS!$C$6:$C$203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$203&lt;DATE($B$3,11,1))*(RESERVAS!$D$6:$D$203&gt;DATE($B$3,10,1))*(RESERVAS!$I$6:$I$203&lt;&gt;"Cancelada")*(RESERVAS!$I$6:$I$203&lt;&gt;"Consulta")*(((RESERVAS!$D$6:$D$203&lt;DATE($B$3,11,1))*RESERVAS!$D$6:$D$203+(RESERVAS!$D$6:$D$203&gt;=DATE($B$3,11,1))*DATE($B$3,11,1))-((RESERVAS!$C$6:$C$203&gt;DATE($B$3,10,1))*RESERVAS!$C$6:$C$203+(RESERVAS!$C$6:$C$203&lt;=DATE($B$3,10,1))*DATE($B$3,10,1))))</f>
        <v>12</v>
      </c>
      <c r="D22" s="89">
        <f t="shared" si="0"/>
        <v>50</v>
      </c>
      <c r="E22" s="6">
        <f t="shared" si="1"/>
        <v>0.19354838709677419</v>
      </c>
      <c r="F22" s="5">
        <f>SUMPRODUCT((RESERVAS!$C$6:$C$203&lt;DATE($B$3,11,1))*(RESERVAS!$D$6:$D$203&gt;DATE($B$3,10,1))*(RESERVAS!$I$6:$I$203&lt;&gt;"Cancelada")*(RESERVAS!$I$6:$I$203&lt;&gt;"Consulta")*RESERVAS!$F$6:$F$203*(((RESERVAS!$D$6:$D$203&lt;DATE($B$3,11,1))*RESERVAS!$D$6:$D$203+(RESERVAS!$D$6:$D$203&gt;=DATE($B$3,11,1))*DATE($B$3,11,1))-((RESERVAS!$C$6:$C$203&gt;DATE($B$3,10,1))*RESERVAS!$C$6:$C$203+(RESERVAS!$C$6:$C$203&lt;=DATE($B$3,10,1))*DATE($B$3,10,1))))</f>
        <v>4909.6750000000002</v>
      </c>
      <c r="G22" s="5">
        <f>SUMPRODUCT((RESERVAS!$C$6:$C$203&lt;DATE($B$3,11,1))*(RESERVAS!$D$6:$D$203&gt;DATE($B$3,10,1))*(RESERVAS!$I$6:$I$203&lt;&gt;"Cancelada")*(RESERVAS!$I$6:$I$203&lt;&gt;"Consulta")*RESERVAS!$T$6:$T$203*(((RESERVAS!$D$6:$D$203&lt;DATE($B$3,11,1))*RESERVAS!$D$6:$D$203+(RESERVAS!$D$6:$D$203&gt;=DATE($B$3,11,1))*DATE($B$3,11,1))-((RESERVAS!$C$6:$C$203&gt;DATE($B$3,10,1))*RESERVAS!$C$6:$C$203+(RESERVAS!$C$6:$C$203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4909.6750000000002</v>
      </c>
      <c r="J22" s="16">
        <f t="shared" si="3"/>
        <v>1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$203&lt;DATE($B$3,12,1))*(RESERVAS!$D$6:$D$203&gt;DATE($B$3,11,1))*(RESERVAS!$I$6:$I$203&lt;&gt;"Cancelada")*(RESERVAS!$I$6:$I$203&lt;&gt;"Consulta")*(((RESERVAS!$D$6:$D$203&lt;DATE($B$3,12,1))*RESERVAS!$D$6:$D$203+(RESERVAS!$D$6:$D$203&gt;=DATE($B$3,12,1))*DATE($B$3,12,1))-((RESERVAS!$C$6:$C$203&gt;DATE($B$3,11,1))*RESERVAS!$C$6:$C$203+(RESERVAS!$C$6:$C$203&lt;=DATE($B$3,11,1))*DATE($B$3,11,1))))</f>
        <v>17</v>
      </c>
      <c r="D23" s="89">
        <f t="shared" si="0"/>
        <v>43</v>
      </c>
      <c r="E23" s="6">
        <f t="shared" si="1"/>
        <v>0.28333333333333333</v>
      </c>
      <c r="F23" s="5">
        <f>SUMPRODUCT((RESERVAS!$C$6:$C$203&lt;DATE($B$3,12,1))*(RESERVAS!$D$6:$D$203&gt;DATE($B$3,11,1))*(RESERVAS!$I$6:$I$203&lt;&gt;"Cancelada")*(RESERVAS!$I$6:$I$203&lt;&gt;"Consulta")*RESERVAS!$F$6:$F$203*(((RESERVAS!$D$6:$D$203&lt;DATE($B$3,12,1))*RESERVAS!$D$6:$D$203+(RESERVAS!$D$6:$D$203&gt;=DATE($B$3,12,1))*DATE($B$3,12,1))-((RESERVAS!$C$6:$C$203&gt;DATE($B$3,11,1))*RESERVAS!$C$6:$C$203+(RESERVAS!$C$6:$C$203&lt;=DATE($B$3,11,1))*DATE($B$3,11,1))))</f>
        <v>7431.9949999999999</v>
      </c>
      <c r="G23" s="5">
        <f>SUMPRODUCT((RESERVAS!$C$6:$C$203&lt;DATE($B$3,12,1))*(RESERVAS!$D$6:$D$203&gt;DATE($B$3,11,1))*(RESERVAS!$I$6:$I$203&lt;&gt;"Cancelada")*(RESERVAS!$I$6:$I$203&lt;&gt;"Consulta")*RESERVAS!$T$6:$T$203*(((RESERVAS!$D$6:$D$203&lt;DATE($B$3,12,1))*RESERVAS!$D$6:$D$203+(RESERVAS!$D$6:$D$203&gt;=DATE($B$3,12,1))*DATE($B$3,12,1))-((RESERVAS!$C$6:$C$203&gt;DATE($B$3,11,1))*RESERVAS!$C$6:$C$203+(RESERVAS!$C$6:$C$203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7431.9949999999999</v>
      </c>
      <c r="J23" s="16">
        <f t="shared" si="3"/>
        <v>1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$203&lt;DATE($B$3,13,1))*(RESERVAS!$D$6:$D$203&gt;DATE($B$3,12,1))*(RESERVAS!$I$6:$I$203&lt;&gt;"Cancelada")*(RESERVAS!$I$6:$I$203&lt;&gt;"Consulta")*(((RESERVAS!$D$6:$D$203&lt;DATE($B$3,13,1))*RESERVAS!$D$6:$D$203+(RESERVAS!$D$6:$D$203&gt;=DATE($B$3,13,1))*DATE($B$3,13,1))-((RESERVAS!$C$6:$C$203&gt;DATE($B$3,12,1))*RESERVAS!$C$6:$C$203+(RESERVAS!$C$6:$C$203&lt;=DATE($B$3,12,1))*DATE($B$3,12,1))))</f>
        <v>16</v>
      </c>
      <c r="D24" s="90">
        <f t="shared" si="0"/>
        <v>46</v>
      </c>
      <c r="E24" s="19">
        <f t="shared" si="1"/>
        <v>0.25806451612903225</v>
      </c>
      <c r="F24" s="20">
        <f>SUMPRODUCT((RESERVAS!$C$6:$C$203&lt;DATE($B$3,13,1))*(RESERVAS!$D$6:$D$203&gt;DATE($B$3,12,1))*(RESERVAS!$I$6:$I$203&lt;&gt;"Cancelada")*(RESERVAS!$I$6:$I$203&lt;&gt;"Consulta")*RESERVAS!$F$6:$F$203*(((RESERVAS!$D$6:$D$203&lt;DATE($B$3,13,1))*RESERVAS!$D$6:$D$203+(RESERVAS!$D$6:$D$203&gt;=DATE($B$3,13,1))*DATE($B$3,13,1))-((RESERVAS!$C$6:$C$203&gt;DATE($B$3,12,1))*RESERVAS!$C$6:$C$203+(RESERVAS!$C$6:$C$203&lt;=DATE($B$3,12,1))*DATE($B$3,12,1))))</f>
        <v>13400</v>
      </c>
      <c r="G24" s="20">
        <f>SUMPRODUCT((RESERVAS!$C$6:$C$203&lt;DATE($B$3,13,1))*(RESERVAS!$D$6:$D$203&gt;DATE($B$3,12,1))*(RESERVAS!$I$6:$I$203&lt;&gt;"Cancelada")*(RESERVAS!$I$6:$I$203&lt;&gt;"Consulta")*RESERVAS!$T$6:$T$203*(((RESERVAS!$D$6:$D$203&lt;DATE($B$3,13,1))*RESERVAS!$D$6:$D$203+(RESERVAS!$D$6:$D$203&gt;=DATE($B$3,13,1))*DATE($B$3,13,1))-((RESERVAS!$C$6:$C$203&gt;DATE($B$3,12,1))*RESERVAS!$C$6:$C$203+(RESERVAS!$C$6:$C$203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13400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34" priority="2" operator="lessThan">
      <formula>0</formula>
    </cfRule>
  </conditionalFormatting>
  <dataValidations disablePrompts="1"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8" t="s">
        <v>47</v>
      </c>
      <c r="J4" s="98"/>
      <c r="K4" s="98"/>
      <c r="L4" s="98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$203,"&lt;="&amp;(DATE($E$2,$K$2,1)-WEEKDAY(DATE($E$2,$K$2,1),2)+1+0),RESERVAS!$D$6:$D$203,"&gt;"&amp;(DATE($E$2,$K$2,1)-WEEKDAY(DATE($E$2,$K$2,1),2)+1+0),RESERVAS!$I$6:$I$203,"&lt;&gt;Cancelada",RESERVAS!$I$6:$I$203,"&lt;&gt;Consulta")=0,"DISPONÍVEL",IF(COUNTIFS(RESERVAS!$C$6:$C$203,"&lt;="&amp;(DATE($E$2,$K$2,1)-WEEKDAY(DATE($E$2,$K$2,1),2)+1+0),RESERVAS!$D$6:$D$203,"&gt;"&amp;(DATE($E$2,$K$2,1)-WEEKDAY(DATE($E$2,$K$2,1),2)+1+0),RESERVAS!$I$6:$I$203,"&lt;&gt;Cancelada",RESERVAS!$I$6:$I$203,"&lt;&gt;Consulta")=1,"ALUGADA","CONFLITO"))&amp;IF(COUNTIFS(RESERVAS!$C$6:$C$203,"&lt;="&amp;(DATE($E$2,$K$2,1)-WEEKDAY(DATE($E$2,$K$2,1),2)+1+0),RESERVAS!$D$6:$D$203,"&gt;"&amp;(DATE($E$2,$K$2,1)-WEEKDAY(DATE($E$2,$K$2,1),2)+1+0),RESERVAS!$I$6:$I$203,"&lt;&gt;Cancelada",RESERVAS!$I$6:$I$203,"&lt;&gt;Consulta")=0,"",CHAR(10)&amp;IFERROR(LOOKUP(2,1/((RESERVAS!$C$6:$C$203&lt;=(DATE($E$2,$K$2,1)-WEEKDAY(DATE($E$2,$K$2,1),2)+1+0))*(RESERVAS!$D$6:$D$203&gt;(DATE($E$2,$K$2,1)-WEEKDAY(DATE($E$2,$K$2,1),2)+1+0))*(RESERVAS!$I$6:$I$203&lt;&gt;"Cancelada")*(RESERVAS!$I$6:$I$203&lt;&gt;"Consulta")),RESERVAS!$B$6:$B$203),"")))</f>
        <v/>
      </c>
      <c r="B5" s="30" t="str">
        <f>IF(MONTH((DATE($E$2,$K$2,1)-WEEKDAY(DATE($E$2,$K$2,1),2)+1+1))&lt;&gt;$K$2,"",TEXT((DATE($E$2,$K$2,1)-WEEKDAY(DATE($E$2,$K$2,1),2)+1+1),"dd")&amp;CHAR(10)&amp;IF(COUNTIFS(RESERVAS!$C$6:$C$203,"&lt;="&amp;(DATE($E$2,$K$2,1)-WEEKDAY(DATE($E$2,$K$2,1),2)+1+1),RESERVAS!$D$6:$D$203,"&gt;"&amp;(DATE($E$2,$K$2,1)-WEEKDAY(DATE($E$2,$K$2,1),2)+1+1),RESERVAS!$I$6:$I$203,"&lt;&gt;Cancelada",RESERVAS!$I$6:$I$203,"&lt;&gt;Consulta")=0,"DISPONÍVEL",IF(COUNTIFS(RESERVAS!$C$6:$C$203,"&lt;="&amp;(DATE($E$2,$K$2,1)-WEEKDAY(DATE($E$2,$K$2,1),2)+1+1),RESERVAS!$D$6:$D$203,"&gt;"&amp;(DATE($E$2,$K$2,1)-WEEKDAY(DATE($E$2,$K$2,1),2)+1+1),RESERVAS!$I$6:$I$203,"&lt;&gt;Cancelada",RESERVAS!$I$6:$I$203,"&lt;&gt;Consulta")=1,"ALUGADA","CONFLITO"))&amp;IF(COUNTIFS(RESERVAS!$C$6:$C$203,"&lt;="&amp;(DATE($E$2,$K$2,1)-WEEKDAY(DATE($E$2,$K$2,1),2)+1+1),RESERVAS!$D$6:$D$203,"&gt;"&amp;(DATE($E$2,$K$2,1)-WEEKDAY(DATE($E$2,$K$2,1),2)+1+1),RESERVAS!$I$6:$I$203,"&lt;&gt;Cancelada",RESERVAS!$I$6:$I$203,"&lt;&gt;Consulta")=0,"",CHAR(10)&amp;IFERROR(LOOKUP(2,1/((RESERVAS!$C$6:$C$203&lt;=(DATE($E$2,$K$2,1)-WEEKDAY(DATE($E$2,$K$2,1),2)+1+1))*(RESERVAS!$D$6:$D$203&gt;(DATE($E$2,$K$2,1)-WEEKDAY(DATE($E$2,$K$2,1),2)+1+1))*(RESERVAS!$I$6:$I$203&lt;&gt;"Cancelada")*(RESERVAS!$I$6:$I$203&lt;&gt;"Consulta")),RESERVAS!$B$6:$B$203)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$203,"&lt;="&amp;(DATE($E$2,$K$2,1)-WEEKDAY(DATE($E$2,$K$2,1),2)+1+2),RESERVAS!$D$6:$D$203,"&gt;"&amp;(DATE($E$2,$K$2,1)-WEEKDAY(DATE($E$2,$K$2,1),2)+1+2),RESERVAS!$I$6:$I$203,"&lt;&gt;Cancelada",RESERVAS!$I$6:$I$203,"&lt;&gt;Consulta")=0,"DISPONÍVEL",IF(COUNTIFS(RESERVAS!$C$6:$C$203,"&lt;="&amp;(DATE($E$2,$K$2,1)-WEEKDAY(DATE($E$2,$K$2,1),2)+1+2),RESERVAS!$D$6:$D$203,"&gt;"&amp;(DATE($E$2,$K$2,1)-WEEKDAY(DATE($E$2,$K$2,1),2)+1+2),RESERVAS!$I$6:$I$203,"&lt;&gt;Cancelada",RESERVAS!$I$6:$I$203,"&lt;&gt;Consulta")=1,"ALUGADA","CONFLITO"))&amp;IF(COUNTIFS(RESERVAS!$C$6:$C$203,"&lt;="&amp;(DATE($E$2,$K$2,1)-WEEKDAY(DATE($E$2,$K$2,1),2)+1+2),RESERVAS!$D$6:$D$203,"&gt;"&amp;(DATE($E$2,$K$2,1)-WEEKDAY(DATE($E$2,$K$2,1),2)+1+2),RESERVAS!$I$6:$I$203,"&lt;&gt;Cancelada",RESERVAS!$I$6:$I$203,"&lt;&gt;Consulta")=0,"",CHAR(10)&amp;IFERROR(LOOKUP(2,1/((RESERVAS!$C$6:$C$203&lt;=(DATE($E$2,$K$2,1)-WEEKDAY(DATE($E$2,$K$2,1),2)+1+2))*(RESERVAS!$D$6:$D$203&gt;(DATE($E$2,$K$2,1)-WEEKDAY(DATE($E$2,$K$2,1),2)+1+2))*(RESERVAS!$I$6:$I$203&lt;&gt;"Cancelada")*(RESERVAS!$I$6:$I$203&lt;&gt;"Consulta")),RESERVAS!$B$6:$B$203)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$203,"&lt;="&amp;(DATE($E$2,$K$2,1)-WEEKDAY(DATE($E$2,$K$2,1),2)+1+3),RESERVAS!$D$6:$D$203,"&gt;"&amp;(DATE($E$2,$K$2,1)-WEEKDAY(DATE($E$2,$K$2,1),2)+1+3),RESERVAS!$I$6:$I$203,"&lt;&gt;Cancelada",RESERVAS!$I$6:$I$203,"&lt;&gt;Consulta")=0,"DISPONÍVEL",IF(COUNTIFS(RESERVAS!$C$6:$C$203,"&lt;="&amp;(DATE($E$2,$K$2,1)-WEEKDAY(DATE($E$2,$K$2,1),2)+1+3),RESERVAS!$D$6:$D$203,"&gt;"&amp;(DATE($E$2,$K$2,1)-WEEKDAY(DATE($E$2,$K$2,1),2)+1+3),RESERVAS!$I$6:$I$203,"&lt;&gt;Cancelada",RESERVAS!$I$6:$I$203,"&lt;&gt;Consulta")=1,"ALUGADA","CONFLITO"))&amp;IF(COUNTIFS(RESERVAS!$C$6:$C$203,"&lt;="&amp;(DATE($E$2,$K$2,1)-WEEKDAY(DATE($E$2,$K$2,1),2)+1+3),RESERVAS!$D$6:$D$203,"&gt;"&amp;(DATE($E$2,$K$2,1)-WEEKDAY(DATE($E$2,$K$2,1),2)+1+3),RESERVAS!$I$6:$I$203,"&lt;&gt;Cancelada",RESERVAS!$I$6:$I$203,"&lt;&gt;Consulta")=0,"",CHAR(10)&amp;IFERROR(LOOKUP(2,1/((RESERVAS!$C$6:$C$203&lt;=(DATE($E$2,$K$2,1)-WEEKDAY(DATE($E$2,$K$2,1),2)+1+3))*(RESERVAS!$D$6:$D$203&gt;(DATE($E$2,$K$2,1)-WEEKDAY(DATE($E$2,$K$2,1),2)+1+3))*(RESERVAS!$I$6:$I$203&lt;&gt;"Cancelada")*(RESERVAS!$I$6:$I$203&lt;&gt;"Consulta")),RESERVAS!$B$6:$B$203)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$203,"&lt;="&amp;(DATE($E$2,$K$2,1)-WEEKDAY(DATE($E$2,$K$2,1),2)+1+4),RESERVAS!$D$6:$D$203,"&gt;"&amp;(DATE($E$2,$K$2,1)-WEEKDAY(DATE($E$2,$K$2,1),2)+1+4),RESERVAS!$I$6:$I$203,"&lt;&gt;Cancelada",RESERVAS!$I$6:$I$203,"&lt;&gt;Consulta")=0,"DISPONÍVEL",IF(COUNTIFS(RESERVAS!$C$6:$C$203,"&lt;="&amp;(DATE($E$2,$K$2,1)-WEEKDAY(DATE($E$2,$K$2,1),2)+1+4),RESERVAS!$D$6:$D$203,"&gt;"&amp;(DATE($E$2,$K$2,1)-WEEKDAY(DATE($E$2,$K$2,1),2)+1+4),RESERVAS!$I$6:$I$203,"&lt;&gt;Cancelada",RESERVAS!$I$6:$I$203,"&lt;&gt;Consulta")=1,"ALUGADA","CONFLITO"))&amp;IF(COUNTIFS(RESERVAS!$C$6:$C$203,"&lt;="&amp;(DATE($E$2,$K$2,1)-WEEKDAY(DATE($E$2,$K$2,1),2)+1+4),RESERVAS!$D$6:$D$203,"&gt;"&amp;(DATE($E$2,$K$2,1)-WEEKDAY(DATE($E$2,$K$2,1),2)+1+4),RESERVAS!$I$6:$I$203,"&lt;&gt;Cancelada",RESERVAS!$I$6:$I$203,"&lt;&gt;Consulta")=0,"",CHAR(10)&amp;IFERROR(LOOKUP(2,1/((RESERVAS!$C$6:$C$203&lt;=(DATE($E$2,$K$2,1)-WEEKDAY(DATE($E$2,$K$2,1),2)+1+4))*(RESERVAS!$D$6:$D$203&gt;(DATE($E$2,$K$2,1)-WEEKDAY(DATE($E$2,$K$2,1),2)+1+4))*(RESERVAS!$I$6:$I$203&lt;&gt;"Cancelada")*(RESERVAS!$I$6:$I$203&lt;&gt;"Consulta")),RESERVAS!$B$6:$B$203)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$203,"&lt;="&amp;(DATE($E$2,$K$2,1)-WEEKDAY(DATE($E$2,$K$2,1),2)+1+5),RESERVAS!$D$6:$D$203,"&gt;"&amp;(DATE($E$2,$K$2,1)-WEEKDAY(DATE($E$2,$K$2,1),2)+1+5),RESERVAS!$I$6:$I$203,"&lt;&gt;Cancelada",RESERVAS!$I$6:$I$203,"&lt;&gt;Consulta")=0,"DISPONÍVEL",IF(COUNTIFS(RESERVAS!$C$6:$C$203,"&lt;="&amp;(DATE($E$2,$K$2,1)-WEEKDAY(DATE($E$2,$K$2,1),2)+1+5),RESERVAS!$D$6:$D$203,"&gt;"&amp;(DATE($E$2,$K$2,1)-WEEKDAY(DATE($E$2,$K$2,1),2)+1+5),RESERVAS!$I$6:$I$203,"&lt;&gt;Cancelada",RESERVAS!$I$6:$I$203,"&lt;&gt;Consulta")=1,"ALUGADA","CONFLITO"))&amp;IF(COUNTIFS(RESERVAS!$C$6:$C$203,"&lt;="&amp;(DATE($E$2,$K$2,1)-WEEKDAY(DATE($E$2,$K$2,1),2)+1+5),RESERVAS!$D$6:$D$203,"&gt;"&amp;(DATE($E$2,$K$2,1)-WEEKDAY(DATE($E$2,$K$2,1),2)+1+5),RESERVAS!$I$6:$I$203,"&lt;&gt;Cancelada",RESERVAS!$I$6:$I$203,"&lt;&gt;Consulta")=0,"",CHAR(10)&amp;IFERROR(LOOKUP(2,1/((RESERVAS!$C$6:$C$203&lt;=(DATE($E$2,$K$2,1)-WEEKDAY(DATE($E$2,$K$2,1),2)+1+5))*(RESERVAS!$D$6:$D$203&gt;(DATE($E$2,$K$2,1)-WEEKDAY(DATE($E$2,$K$2,1),2)+1+5))*(RESERVAS!$I$6:$I$203&lt;&gt;"Cancelada")*(RESERVAS!$I$6:$I$203&lt;&gt;"Consulta")),RESERVAS!$B$6:$B$203)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$203,"&lt;="&amp;(DATE($E$2,$K$2,1)-WEEKDAY(DATE($E$2,$K$2,1),2)+1+6),RESERVAS!$D$6:$D$203,"&gt;"&amp;(DATE($E$2,$K$2,1)-WEEKDAY(DATE($E$2,$K$2,1),2)+1+6),RESERVAS!$I$6:$I$203,"&lt;&gt;Cancelada",RESERVAS!$I$6:$I$203,"&lt;&gt;Consulta")=0,"DISPONÍVEL",IF(COUNTIFS(RESERVAS!$C$6:$C$203,"&lt;="&amp;(DATE($E$2,$K$2,1)-WEEKDAY(DATE($E$2,$K$2,1),2)+1+6),RESERVAS!$D$6:$D$203,"&gt;"&amp;(DATE($E$2,$K$2,1)-WEEKDAY(DATE($E$2,$K$2,1),2)+1+6),RESERVAS!$I$6:$I$203,"&lt;&gt;Cancelada",RESERVAS!$I$6:$I$203,"&lt;&gt;Consulta")=1,"ALUGADA","CONFLITO"))&amp;IF(COUNTIFS(RESERVAS!$C$6:$C$203,"&lt;="&amp;(DATE($E$2,$K$2,1)-WEEKDAY(DATE($E$2,$K$2,1),2)+1+6),RESERVAS!$D$6:$D$203,"&gt;"&amp;(DATE($E$2,$K$2,1)-WEEKDAY(DATE($E$2,$K$2,1),2)+1+6),RESERVAS!$I$6:$I$203,"&lt;&gt;Cancelada",RESERVAS!$I$6:$I$203,"&lt;&gt;Consulta")=0,"",CHAR(10)&amp;IFERROR(LOOKUP(2,1/((RESERVAS!$C$6:$C$203&lt;=(DATE($E$2,$K$2,1)-WEEKDAY(DATE($E$2,$K$2,1),2)+1+6))*(RESERVAS!$D$6:$D$203&gt;(DATE($E$2,$K$2,1)-WEEKDAY(DATE($E$2,$K$2,1),2)+1+6))*(RESERVAS!$I$6:$I$203&lt;&gt;"Cancelada")*(RESERVAS!$I$6:$I$203&lt;&gt;"Consulta")),RESERVAS!$B$6:$B$203),"")))</f>
        <v>06
ALUGADA
Regina - 7 de Setembro</v>
      </c>
      <c r="I5" s="35" t="s">
        <v>16</v>
      </c>
      <c r="J5" s="36">
        <f>SUMPRODUCT((RESERVAS!$C$6:$C$203&lt;DATE($E$2,$K$2+1,1))*(RESERVAS!$D$6:$D$203&gt;DATE($E$2,$K$2,1))*(RESERVAS!$I$6:$I$203&lt;&gt;"Cancelada")*(RESERVAS!$I$6:$I$203&lt;&gt;"Consulta")*RESERVAS!$F$6:$F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$203,"&lt;="&amp;(DATE($E$2,$K$2,1)-WEEKDAY(DATE($E$2,$K$2,1),2)+1+7),RESERVAS!$D$6:$D$203,"&gt;"&amp;(DATE($E$2,$K$2,1)-WEEKDAY(DATE($E$2,$K$2,1),2)+1+7),RESERVAS!$I$6:$I$203,"&lt;&gt;Cancelada",RESERVAS!$I$6:$I$203,"&lt;&gt;Consulta")=0,"DISPONÍVEL",IF(COUNTIFS(RESERVAS!$C$6:$C$203,"&lt;="&amp;(DATE($E$2,$K$2,1)-WEEKDAY(DATE($E$2,$K$2,1),2)+1+7),RESERVAS!$D$6:$D$203,"&gt;"&amp;(DATE($E$2,$K$2,1)-WEEKDAY(DATE($E$2,$K$2,1),2)+1+7),RESERVAS!$I$6:$I$203,"&lt;&gt;Cancelada",RESERVAS!$I$6:$I$203,"&lt;&gt;Consulta")=1,"ALUGADA","CONFLITO"))&amp;IF(COUNTIFS(RESERVAS!$C$6:$C$203,"&lt;="&amp;(DATE($E$2,$K$2,1)-WEEKDAY(DATE($E$2,$K$2,1),2)+1+7),RESERVAS!$D$6:$D$203,"&gt;"&amp;(DATE($E$2,$K$2,1)-WEEKDAY(DATE($E$2,$K$2,1),2)+1+7),RESERVAS!$I$6:$I$203,"&lt;&gt;Cancelada",RESERVAS!$I$6:$I$203,"&lt;&gt;Consulta")=0,"",CHAR(10)&amp;IFERROR(LOOKUP(2,1/((RESERVAS!$C$6:$C$203&lt;=(DATE($E$2,$K$2,1)-WEEKDAY(DATE($E$2,$K$2,1),2)+1+7))*(RESERVAS!$D$6:$D$203&gt;(DATE($E$2,$K$2,1)-WEEKDAY(DATE($E$2,$K$2,1),2)+1+7))*(RESERVAS!$I$6:$I$203&lt;&gt;"Cancelada")*(RESERVAS!$I$6:$I$203&lt;&gt;"Consulta")),RESERVAS!$B$6:$B$203)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$203,"&lt;="&amp;(DATE($E$2,$K$2,1)-WEEKDAY(DATE($E$2,$K$2,1),2)+1+8),RESERVAS!$D$6:$D$203,"&gt;"&amp;(DATE($E$2,$K$2,1)-WEEKDAY(DATE($E$2,$K$2,1),2)+1+8),RESERVAS!$I$6:$I$203,"&lt;&gt;Cancelada",RESERVAS!$I$6:$I$203,"&lt;&gt;Consulta")=0,"DISPONÍVEL",IF(COUNTIFS(RESERVAS!$C$6:$C$203,"&lt;="&amp;(DATE($E$2,$K$2,1)-WEEKDAY(DATE($E$2,$K$2,1),2)+1+8),RESERVAS!$D$6:$D$203,"&gt;"&amp;(DATE($E$2,$K$2,1)-WEEKDAY(DATE($E$2,$K$2,1),2)+1+8),RESERVAS!$I$6:$I$203,"&lt;&gt;Cancelada",RESERVAS!$I$6:$I$203,"&lt;&gt;Consulta")=1,"ALUGADA","CONFLITO"))&amp;IF(COUNTIFS(RESERVAS!$C$6:$C$203,"&lt;="&amp;(DATE($E$2,$K$2,1)-WEEKDAY(DATE($E$2,$K$2,1),2)+1+8),RESERVAS!$D$6:$D$203,"&gt;"&amp;(DATE($E$2,$K$2,1)-WEEKDAY(DATE($E$2,$K$2,1),2)+1+8),RESERVAS!$I$6:$I$203,"&lt;&gt;Cancelada",RESERVAS!$I$6:$I$203,"&lt;&gt;Consulta")=0,"",CHAR(10)&amp;IFERROR(LOOKUP(2,1/((RESERVAS!$C$6:$C$203&lt;=(DATE($E$2,$K$2,1)-WEEKDAY(DATE($E$2,$K$2,1),2)+1+8))*(RESERVAS!$D$6:$D$203&gt;(DATE($E$2,$K$2,1)-WEEKDAY(DATE($E$2,$K$2,1),2)+1+8))*(RESERVAS!$I$6:$I$203&lt;&gt;"Cancelada")*(RESERVAS!$I$6:$I$203&lt;&gt;"Consulta")),RESERVAS!$B$6:$B$203)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$203,"&lt;="&amp;(DATE($E$2,$K$2,1)-WEEKDAY(DATE($E$2,$K$2,1),2)+1+9),RESERVAS!$D$6:$D$203,"&gt;"&amp;(DATE($E$2,$K$2,1)-WEEKDAY(DATE($E$2,$K$2,1),2)+1+9),RESERVAS!$I$6:$I$203,"&lt;&gt;Cancelada",RESERVAS!$I$6:$I$203,"&lt;&gt;Consulta")=0,"DISPONÍVEL",IF(COUNTIFS(RESERVAS!$C$6:$C$203,"&lt;="&amp;(DATE($E$2,$K$2,1)-WEEKDAY(DATE($E$2,$K$2,1),2)+1+9),RESERVAS!$D$6:$D$203,"&gt;"&amp;(DATE($E$2,$K$2,1)-WEEKDAY(DATE($E$2,$K$2,1),2)+1+9),RESERVAS!$I$6:$I$203,"&lt;&gt;Cancelada",RESERVAS!$I$6:$I$203,"&lt;&gt;Consulta")=1,"ALUGADA","CONFLITO"))&amp;IF(COUNTIFS(RESERVAS!$C$6:$C$203,"&lt;="&amp;(DATE($E$2,$K$2,1)-WEEKDAY(DATE($E$2,$K$2,1),2)+1+9),RESERVAS!$D$6:$D$203,"&gt;"&amp;(DATE($E$2,$K$2,1)-WEEKDAY(DATE($E$2,$K$2,1),2)+1+9),RESERVAS!$I$6:$I$203,"&lt;&gt;Cancelada",RESERVAS!$I$6:$I$203,"&lt;&gt;Consulta")=0,"",CHAR(10)&amp;IFERROR(LOOKUP(2,1/((RESERVAS!$C$6:$C$203&lt;=(DATE($E$2,$K$2,1)-WEEKDAY(DATE($E$2,$K$2,1),2)+1+9))*(RESERVAS!$D$6:$D$203&gt;(DATE($E$2,$K$2,1)-WEEKDAY(DATE($E$2,$K$2,1),2)+1+9))*(RESERVAS!$I$6:$I$203&lt;&gt;"Cancelada")*(RESERVAS!$I$6:$I$203&lt;&gt;"Consulta")),RESERVAS!$B$6:$B$203)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$203,"&lt;="&amp;(DATE($E$2,$K$2,1)-WEEKDAY(DATE($E$2,$K$2,1),2)+1+10),RESERVAS!$D$6:$D$203,"&gt;"&amp;(DATE($E$2,$K$2,1)-WEEKDAY(DATE($E$2,$K$2,1),2)+1+10),RESERVAS!$I$6:$I$203,"&lt;&gt;Cancelada",RESERVAS!$I$6:$I$203,"&lt;&gt;Consulta")=0,"DISPONÍVEL",IF(COUNTIFS(RESERVAS!$C$6:$C$203,"&lt;="&amp;(DATE($E$2,$K$2,1)-WEEKDAY(DATE($E$2,$K$2,1),2)+1+10),RESERVAS!$D$6:$D$203,"&gt;"&amp;(DATE($E$2,$K$2,1)-WEEKDAY(DATE($E$2,$K$2,1),2)+1+10),RESERVAS!$I$6:$I$203,"&lt;&gt;Cancelada",RESERVAS!$I$6:$I$203,"&lt;&gt;Consulta")=1,"ALUGADA","CONFLITO"))&amp;IF(COUNTIFS(RESERVAS!$C$6:$C$203,"&lt;="&amp;(DATE($E$2,$K$2,1)-WEEKDAY(DATE($E$2,$K$2,1),2)+1+10),RESERVAS!$D$6:$D$203,"&gt;"&amp;(DATE($E$2,$K$2,1)-WEEKDAY(DATE($E$2,$K$2,1),2)+1+10),RESERVAS!$I$6:$I$203,"&lt;&gt;Cancelada",RESERVAS!$I$6:$I$203,"&lt;&gt;Consulta")=0,"",CHAR(10)&amp;IFERROR(LOOKUP(2,1/((RESERVAS!$C$6:$C$203&lt;=(DATE($E$2,$K$2,1)-WEEKDAY(DATE($E$2,$K$2,1),2)+1+10))*(RESERVAS!$D$6:$D$203&gt;(DATE($E$2,$K$2,1)-WEEKDAY(DATE($E$2,$K$2,1),2)+1+10))*(RESERVAS!$I$6:$I$203&lt;&gt;"Cancelada")*(RESERVAS!$I$6:$I$203&lt;&gt;"Consulta")),RESERVAS!$B$6:$B$203)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$203,"&lt;="&amp;(DATE($E$2,$K$2,1)-WEEKDAY(DATE($E$2,$K$2,1),2)+1+11),RESERVAS!$D$6:$D$203,"&gt;"&amp;(DATE($E$2,$K$2,1)-WEEKDAY(DATE($E$2,$K$2,1),2)+1+11),RESERVAS!$I$6:$I$203,"&lt;&gt;Cancelada",RESERVAS!$I$6:$I$203,"&lt;&gt;Consulta")=0,"DISPONÍVEL",IF(COUNTIFS(RESERVAS!$C$6:$C$203,"&lt;="&amp;(DATE($E$2,$K$2,1)-WEEKDAY(DATE($E$2,$K$2,1),2)+1+11),RESERVAS!$D$6:$D$203,"&gt;"&amp;(DATE($E$2,$K$2,1)-WEEKDAY(DATE($E$2,$K$2,1),2)+1+11),RESERVAS!$I$6:$I$203,"&lt;&gt;Cancelada",RESERVAS!$I$6:$I$203,"&lt;&gt;Consulta")=1,"ALUGADA","CONFLITO"))&amp;IF(COUNTIFS(RESERVAS!$C$6:$C$203,"&lt;="&amp;(DATE($E$2,$K$2,1)-WEEKDAY(DATE($E$2,$K$2,1),2)+1+11),RESERVAS!$D$6:$D$203,"&gt;"&amp;(DATE($E$2,$K$2,1)-WEEKDAY(DATE($E$2,$K$2,1),2)+1+11),RESERVAS!$I$6:$I$203,"&lt;&gt;Cancelada",RESERVAS!$I$6:$I$203,"&lt;&gt;Consulta")=0,"",CHAR(10)&amp;IFERROR(LOOKUP(2,1/((RESERVAS!$C$6:$C$203&lt;=(DATE($E$2,$K$2,1)-WEEKDAY(DATE($E$2,$K$2,1),2)+1+11))*(RESERVAS!$D$6:$D$203&gt;(DATE($E$2,$K$2,1)-WEEKDAY(DATE($E$2,$K$2,1),2)+1+11))*(RESERVAS!$I$6:$I$203&lt;&gt;"Cancelada")*(RESERVAS!$I$6:$I$203&lt;&gt;"Consulta")),RESERVAS!$B$6:$B$203)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$203,"&lt;="&amp;(DATE($E$2,$K$2,1)-WEEKDAY(DATE($E$2,$K$2,1),2)+1+12),RESERVAS!$D$6:$D$203,"&gt;"&amp;(DATE($E$2,$K$2,1)-WEEKDAY(DATE($E$2,$K$2,1),2)+1+12),RESERVAS!$I$6:$I$203,"&lt;&gt;Cancelada",RESERVAS!$I$6:$I$203,"&lt;&gt;Consulta")=0,"DISPONÍVEL",IF(COUNTIFS(RESERVAS!$C$6:$C$203,"&lt;="&amp;(DATE($E$2,$K$2,1)-WEEKDAY(DATE($E$2,$K$2,1),2)+1+12),RESERVAS!$D$6:$D$203,"&gt;"&amp;(DATE($E$2,$K$2,1)-WEEKDAY(DATE($E$2,$K$2,1),2)+1+12),RESERVAS!$I$6:$I$203,"&lt;&gt;Cancelada",RESERVAS!$I$6:$I$203,"&lt;&gt;Consulta")=1,"ALUGADA","CONFLITO"))&amp;IF(COUNTIFS(RESERVAS!$C$6:$C$203,"&lt;="&amp;(DATE($E$2,$K$2,1)-WEEKDAY(DATE($E$2,$K$2,1),2)+1+12),RESERVAS!$D$6:$D$203,"&gt;"&amp;(DATE($E$2,$K$2,1)-WEEKDAY(DATE($E$2,$K$2,1),2)+1+12),RESERVAS!$I$6:$I$203,"&lt;&gt;Cancelada",RESERVAS!$I$6:$I$203,"&lt;&gt;Consulta")=0,"",CHAR(10)&amp;IFERROR(LOOKUP(2,1/((RESERVAS!$C$6:$C$203&lt;=(DATE($E$2,$K$2,1)-WEEKDAY(DATE($E$2,$K$2,1),2)+1+12))*(RESERVAS!$D$6:$D$203&gt;(DATE($E$2,$K$2,1)-WEEKDAY(DATE($E$2,$K$2,1),2)+1+12))*(RESERVAS!$I$6:$I$203&lt;&gt;"Cancelada")*(RESERVAS!$I$6:$I$203&lt;&gt;"Consulta")),RESERVAS!$B$6:$B$203)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$203,"&lt;="&amp;(DATE($E$2,$K$2,1)-WEEKDAY(DATE($E$2,$K$2,1),2)+1+13),RESERVAS!$D$6:$D$203,"&gt;"&amp;(DATE($E$2,$K$2,1)-WEEKDAY(DATE($E$2,$K$2,1),2)+1+13),RESERVAS!$I$6:$I$203,"&lt;&gt;Cancelada",RESERVAS!$I$6:$I$203,"&lt;&gt;Consulta")=0,"DISPONÍVEL",IF(COUNTIFS(RESERVAS!$C$6:$C$203,"&lt;="&amp;(DATE($E$2,$K$2,1)-WEEKDAY(DATE($E$2,$K$2,1),2)+1+13),RESERVAS!$D$6:$D$203,"&gt;"&amp;(DATE($E$2,$K$2,1)-WEEKDAY(DATE($E$2,$K$2,1),2)+1+13),RESERVAS!$I$6:$I$203,"&lt;&gt;Cancelada",RESERVAS!$I$6:$I$203,"&lt;&gt;Consulta")=1,"ALUGADA","CONFLITO"))&amp;IF(COUNTIFS(RESERVAS!$C$6:$C$203,"&lt;="&amp;(DATE($E$2,$K$2,1)-WEEKDAY(DATE($E$2,$K$2,1),2)+1+13),RESERVAS!$D$6:$D$203,"&gt;"&amp;(DATE($E$2,$K$2,1)-WEEKDAY(DATE($E$2,$K$2,1),2)+1+13),RESERVAS!$I$6:$I$203,"&lt;&gt;Cancelada",RESERVAS!$I$6:$I$203,"&lt;&gt;Consulta")=0,"",CHAR(10)&amp;IFERROR(LOOKUP(2,1/((RESERVAS!$C$6:$C$203&lt;=(DATE($E$2,$K$2,1)-WEEKDAY(DATE($E$2,$K$2,1),2)+1+13))*(RESERVAS!$D$6:$D$203&gt;(DATE($E$2,$K$2,1)-WEEKDAY(DATE($E$2,$K$2,1),2)+1+13))*(RESERVAS!$I$6:$I$203&lt;&gt;"Cancelada")*(RESERVAS!$I$6:$I$203&lt;&gt;"Consulta")),RESERVAS!$B$6:$B$203),"")))</f>
        <v>13
ALUGADA
Louis Renan - Férias</v>
      </c>
      <c r="I6" s="35" t="s">
        <v>4</v>
      </c>
      <c r="J6" s="36">
        <f>SUMPRODUCT((RESERVAS!$C$6:$C$203&lt;DATE($E$2,$K$2+1,1))*(RESERVAS!$D$6:$D$203&gt;DATE($E$2,$K$2,1))*(RESERVAS!$I$6:$I$203&lt;&gt;"Cancelada")*(RESERVAS!$I$6:$I$203&lt;&gt;"Consulta")*RESERVAS!$T$6:$T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$203,"&lt;="&amp;(DATE($E$2,$K$2,1)-WEEKDAY(DATE($E$2,$K$2,1),2)+1+14),RESERVAS!$D$6:$D$203,"&gt;"&amp;(DATE($E$2,$K$2,1)-WEEKDAY(DATE($E$2,$K$2,1),2)+1+14),RESERVAS!$I$6:$I$203,"&lt;&gt;Cancelada",RESERVAS!$I$6:$I$203,"&lt;&gt;Consulta")=0,"DISPONÍVEL",IF(COUNTIFS(RESERVAS!$C$6:$C$203,"&lt;="&amp;(DATE($E$2,$K$2,1)-WEEKDAY(DATE($E$2,$K$2,1),2)+1+14),RESERVAS!$D$6:$D$203,"&gt;"&amp;(DATE($E$2,$K$2,1)-WEEKDAY(DATE($E$2,$K$2,1),2)+1+14),RESERVAS!$I$6:$I$203,"&lt;&gt;Cancelada",RESERVAS!$I$6:$I$203,"&lt;&gt;Consulta")=1,"ALUGADA","CONFLITO"))&amp;IF(COUNTIFS(RESERVAS!$C$6:$C$203,"&lt;="&amp;(DATE($E$2,$K$2,1)-WEEKDAY(DATE($E$2,$K$2,1),2)+1+14),RESERVAS!$D$6:$D$203,"&gt;"&amp;(DATE($E$2,$K$2,1)-WEEKDAY(DATE($E$2,$K$2,1),2)+1+14),RESERVAS!$I$6:$I$203,"&lt;&gt;Cancelada",RESERVAS!$I$6:$I$203,"&lt;&gt;Consulta")=0,"",CHAR(10)&amp;IFERROR(LOOKUP(2,1/((RESERVAS!$C$6:$C$203&lt;=(DATE($E$2,$K$2,1)-WEEKDAY(DATE($E$2,$K$2,1),2)+1+14))*(RESERVAS!$D$6:$D$203&gt;(DATE($E$2,$K$2,1)-WEEKDAY(DATE($E$2,$K$2,1),2)+1+14))*(RESERVAS!$I$6:$I$203&lt;&gt;"Cancelada")*(RESERVAS!$I$6:$I$203&lt;&gt;"Consulta")),RESERVAS!$B$6:$B$203)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$203,"&lt;="&amp;(DATE($E$2,$K$2,1)-WEEKDAY(DATE($E$2,$K$2,1),2)+1+15),RESERVAS!$D$6:$D$203,"&gt;"&amp;(DATE($E$2,$K$2,1)-WEEKDAY(DATE($E$2,$K$2,1),2)+1+15),RESERVAS!$I$6:$I$203,"&lt;&gt;Cancelada",RESERVAS!$I$6:$I$203,"&lt;&gt;Consulta")=0,"DISPONÍVEL",IF(COUNTIFS(RESERVAS!$C$6:$C$203,"&lt;="&amp;(DATE($E$2,$K$2,1)-WEEKDAY(DATE($E$2,$K$2,1),2)+1+15),RESERVAS!$D$6:$D$203,"&gt;"&amp;(DATE($E$2,$K$2,1)-WEEKDAY(DATE($E$2,$K$2,1),2)+1+15),RESERVAS!$I$6:$I$203,"&lt;&gt;Cancelada",RESERVAS!$I$6:$I$203,"&lt;&gt;Consulta")=1,"ALUGADA","CONFLITO"))&amp;IF(COUNTIFS(RESERVAS!$C$6:$C$203,"&lt;="&amp;(DATE($E$2,$K$2,1)-WEEKDAY(DATE($E$2,$K$2,1),2)+1+15),RESERVAS!$D$6:$D$203,"&gt;"&amp;(DATE($E$2,$K$2,1)-WEEKDAY(DATE($E$2,$K$2,1),2)+1+15),RESERVAS!$I$6:$I$203,"&lt;&gt;Cancelada",RESERVAS!$I$6:$I$203,"&lt;&gt;Consulta")=0,"",CHAR(10)&amp;IFERROR(LOOKUP(2,1/((RESERVAS!$C$6:$C$203&lt;=(DATE($E$2,$K$2,1)-WEEKDAY(DATE($E$2,$K$2,1),2)+1+15))*(RESERVAS!$D$6:$D$203&gt;(DATE($E$2,$K$2,1)-WEEKDAY(DATE($E$2,$K$2,1),2)+1+15))*(RESERVAS!$I$6:$I$203&lt;&gt;"Cancelada")*(RESERVAS!$I$6:$I$203&lt;&gt;"Consulta")),RESERVAS!$B$6:$B$203)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$203,"&lt;="&amp;(DATE($E$2,$K$2,1)-WEEKDAY(DATE($E$2,$K$2,1),2)+1+16),RESERVAS!$D$6:$D$203,"&gt;"&amp;(DATE($E$2,$K$2,1)-WEEKDAY(DATE($E$2,$K$2,1),2)+1+16),RESERVAS!$I$6:$I$203,"&lt;&gt;Cancelada",RESERVAS!$I$6:$I$203,"&lt;&gt;Consulta")=0,"DISPONÍVEL",IF(COUNTIFS(RESERVAS!$C$6:$C$203,"&lt;="&amp;(DATE($E$2,$K$2,1)-WEEKDAY(DATE($E$2,$K$2,1),2)+1+16),RESERVAS!$D$6:$D$203,"&gt;"&amp;(DATE($E$2,$K$2,1)-WEEKDAY(DATE($E$2,$K$2,1),2)+1+16),RESERVAS!$I$6:$I$203,"&lt;&gt;Cancelada",RESERVAS!$I$6:$I$203,"&lt;&gt;Consulta")=1,"ALUGADA","CONFLITO"))&amp;IF(COUNTIFS(RESERVAS!$C$6:$C$203,"&lt;="&amp;(DATE($E$2,$K$2,1)-WEEKDAY(DATE($E$2,$K$2,1),2)+1+16),RESERVAS!$D$6:$D$203,"&gt;"&amp;(DATE($E$2,$K$2,1)-WEEKDAY(DATE($E$2,$K$2,1),2)+1+16),RESERVAS!$I$6:$I$203,"&lt;&gt;Cancelada",RESERVAS!$I$6:$I$203,"&lt;&gt;Consulta")=0,"",CHAR(10)&amp;IFERROR(LOOKUP(2,1/((RESERVAS!$C$6:$C$203&lt;=(DATE($E$2,$K$2,1)-WEEKDAY(DATE($E$2,$K$2,1),2)+1+16))*(RESERVAS!$D$6:$D$203&gt;(DATE($E$2,$K$2,1)-WEEKDAY(DATE($E$2,$K$2,1),2)+1+16))*(RESERVAS!$I$6:$I$203&lt;&gt;"Cancelada")*(RESERVAS!$I$6:$I$203&lt;&gt;"Consulta")),RESERVAS!$B$6:$B$203)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$203,"&lt;="&amp;(DATE($E$2,$K$2,1)-WEEKDAY(DATE($E$2,$K$2,1),2)+1+17),RESERVAS!$D$6:$D$203,"&gt;"&amp;(DATE($E$2,$K$2,1)-WEEKDAY(DATE($E$2,$K$2,1),2)+1+17),RESERVAS!$I$6:$I$203,"&lt;&gt;Cancelada",RESERVAS!$I$6:$I$203,"&lt;&gt;Consulta")=0,"DISPONÍVEL",IF(COUNTIFS(RESERVAS!$C$6:$C$203,"&lt;="&amp;(DATE($E$2,$K$2,1)-WEEKDAY(DATE($E$2,$K$2,1),2)+1+17),RESERVAS!$D$6:$D$203,"&gt;"&amp;(DATE($E$2,$K$2,1)-WEEKDAY(DATE($E$2,$K$2,1),2)+1+17),RESERVAS!$I$6:$I$203,"&lt;&gt;Cancelada",RESERVAS!$I$6:$I$203,"&lt;&gt;Consulta")=1,"ALUGADA","CONFLITO"))&amp;IF(COUNTIFS(RESERVAS!$C$6:$C$203,"&lt;="&amp;(DATE($E$2,$K$2,1)-WEEKDAY(DATE($E$2,$K$2,1),2)+1+17),RESERVAS!$D$6:$D$203,"&gt;"&amp;(DATE($E$2,$K$2,1)-WEEKDAY(DATE($E$2,$K$2,1),2)+1+17),RESERVAS!$I$6:$I$203,"&lt;&gt;Cancelada",RESERVAS!$I$6:$I$203,"&lt;&gt;Consulta")=0,"",CHAR(10)&amp;IFERROR(LOOKUP(2,1/((RESERVAS!$C$6:$C$203&lt;=(DATE($E$2,$K$2,1)-WEEKDAY(DATE($E$2,$K$2,1),2)+1+17))*(RESERVAS!$D$6:$D$203&gt;(DATE($E$2,$K$2,1)-WEEKDAY(DATE($E$2,$K$2,1),2)+1+17))*(RESERVAS!$I$6:$I$203&lt;&gt;"Cancelada")*(RESERVAS!$I$6:$I$203&lt;&gt;"Consulta")),RESERVAS!$B$6:$B$203)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$203,"&lt;="&amp;(DATE($E$2,$K$2,1)-WEEKDAY(DATE($E$2,$K$2,1),2)+1+18),RESERVAS!$D$6:$D$203,"&gt;"&amp;(DATE($E$2,$K$2,1)-WEEKDAY(DATE($E$2,$K$2,1),2)+1+18),RESERVAS!$I$6:$I$203,"&lt;&gt;Cancelada",RESERVAS!$I$6:$I$203,"&lt;&gt;Consulta")=0,"DISPONÍVEL",IF(COUNTIFS(RESERVAS!$C$6:$C$203,"&lt;="&amp;(DATE($E$2,$K$2,1)-WEEKDAY(DATE($E$2,$K$2,1),2)+1+18),RESERVAS!$D$6:$D$203,"&gt;"&amp;(DATE($E$2,$K$2,1)-WEEKDAY(DATE($E$2,$K$2,1),2)+1+18),RESERVAS!$I$6:$I$203,"&lt;&gt;Cancelada",RESERVAS!$I$6:$I$203,"&lt;&gt;Consulta")=1,"ALUGADA","CONFLITO"))&amp;IF(COUNTIFS(RESERVAS!$C$6:$C$203,"&lt;="&amp;(DATE($E$2,$K$2,1)-WEEKDAY(DATE($E$2,$K$2,1),2)+1+18),RESERVAS!$D$6:$D$203,"&gt;"&amp;(DATE($E$2,$K$2,1)-WEEKDAY(DATE($E$2,$K$2,1),2)+1+18),RESERVAS!$I$6:$I$203,"&lt;&gt;Cancelada",RESERVAS!$I$6:$I$203,"&lt;&gt;Consulta")=0,"",CHAR(10)&amp;IFERROR(LOOKUP(2,1/((RESERVAS!$C$6:$C$203&lt;=(DATE($E$2,$K$2,1)-WEEKDAY(DATE($E$2,$K$2,1),2)+1+18))*(RESERVAS!$D$6:$D$203&gt;(DATE($E$2,$K$2,1)-WEEKDAY(DATE($E$2,$K$2,1),2)+1+18))*(RESERVAS!$I$6:$I$203&lt;&gt;"Cancelada")*(RESERVAS!$I$6:$I$203&lt;&gt;"Consulta")),RESERVAS!$B$6:$B$203)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$203,"&lt;="&amp;(DATE($E$2,$K$2,1)-WEEKDAY(DATE($E$2,$K$2,1),2)+1+19),RESERVAS!$D$6:$D$203,"&gt;"&amp;(DATE($E$2,$K$2,1)-WEEKDAY(DATE($E$2,$K$2,1),2)+1+19),RESERVAS!$I$6:$I$203,"&lt;&gt;Cancelada",RESERVAS!$I$6:$I$203,"&lt;&gt;Consulta")=0,"DISPONÍVEL",IF(COUNTIFS(RESERVAS!$C$6:$C$203,"&lt;="&amp;(DATE($E$2,$K$2,1)-WEEKDAY(DATE($E$2,$K$2,1),2)+1+19),RESERVAS!$D$6:$D$203,"&gt;"&amp;(DATE($E$2,$K$2,1)-WEEKDAY(DATE($E$2,$K$2,1),2)+1+19),RESERVAS!$I$6:$I$203,"&lt;&gt;Cancelada",RESERVAS!$I$6:$I$203,"&lt;&gt;Consulta")=1,"ALUGADA","CONFLITO"))&amp;IF(COUNTIFS(RESERVAS!$C$6:$C$203,"&lt;="&amp;(DATE($E$2,$K$2,1)-WEEKDAY(DATE($E$2,$K$2,1),2)+1+19),RESERVAS!$D$6:$D$203,"&gt;"&amp;(DATE($E$2,$K$2,1)-WEEKDAY(DATE($E$2,$K$2,1),2)+1+19),RESERVAS!$I$6:$I$203,"&lt;&gt;Cancelada",RESERVAS!$I$6:$I$203,"&lt;&gt;Consulta")=0,"",CHAR(10)&amp;IFERROR(LOOKUP(2,1/((RESERVAS!$C$6:$C$203&lt;=(DATE($E$2,$K$2,1)-WEEKDAY(DATE($E$2,$K$2,1),2)+1+19))*(RESERVAS!$D$6:$D$203&gt;(DATE($E$2,$K$2,1)-WEEKDAY(DATE($E$2,$K$2,1),2)+1+19))*(RESERVAS!$I$6:$I$203&lt;&gt;"Cancelada")*(RESERVAS!$I$6:$I$203&lt;&gt;"Consulta")),RESERVAS!$B$6:$B$203)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$203,"&lt;="&amp;(DATE($E$2,$K$2,1)-WEEKDAY(DATE($E$2,$K$2,1),2)+1+20),RESERVAS!$D$6:$D$203,"&gt;"&amp;(DATE($E$2,$K$2,1)-WEEKDAY(DATE($E$2,$K$2,1),2)+1+20),RESERVAS!$I$6:$I$203,"&lt;&gt;Cancelada",RESERVAS!$I$6:$I$203,"&lt;&gt;Consulta")=0,"DISPONÍVEL",IF(COUNTIFS(RESERVAS!$C$6:$C$203,"&lt;="&amp;(DATE($E$2,$K$2,1)-WEEKDAY(DATE($E$2,$K$2,1),2)+1+20),RESERVAS!$D$6:$D$203,"&gt;"&amp;(DATE($E$2,$K$2,1)-WEEKDAY(DATE($E$2,$K$2,1),2)+1+20),RESERVAS!$I$6:$I$203,"&lt;&gt;Cancelada",RESERVAS!$I$6:$I$203,"&lt;&gt;Consulta")=1,"ALUGADA","CONFLITO"))&amp;IF(COUNTIFS(RESERVAS!$C$6:$C$203,"&lt;="&amp;(DATE($E$2,$K$2,1)-WEEKDAY(DATE($E$2,$K$2,1),2)+1+20),RESERVAS!$D$6:$D$203,"&gt;"&amp;(DATE($E$2,$K$2,1)-WEEKDAY(DATE($E$2,$K$2,1),2)+1+20),RESERVAS!$I$6:$I$203,"&lt;&gt;Cancelada",RESERVAS!$I$6:$I$203,"&lt;&gt;Consulta")=0,"",CHAR(10)&amp;IFERROR(LOOKUP(2,1/((RESERVAS!$C$6:$C$203&lt;=(DATE($E$2,$K$2,1)-WEEKDAY(DATE($E$2,$K$2,1),2)+1+20))*(RESERVAS!$D$6:$D$203&gt;(DATE($E$2,$K$2,1)-WEEKDAY(DATE($E$2,$K$2,1),2)+1+20))*(RESERVAS!$I$6:$I$203&lt;&gt;"Cancelada")*(RESERVAS!$I$6:$I$203&lt;&gt;"Consulta")),RESERVAS!$B$6:$B$203)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$203,"&lt;="&amp;(DATE($E$2,$K$2,1)-WEEKDAY(DATE($E$2,$K$2,1),2)+1+21),RESERVAS!$D$6:$D$203,"&gt;"&amp;(DATE($E$2,$K$2,1)-WEEKDAY(DATE($E$2,$K$2,1),2)+1+21),RESERVAS!$I$6:$I$203,"&lt;&gt;Cancelada",RESERVAS!$I$6:$I$203,"&lt;&gt;Consulta")=0,"DISPONÍVEL",IF(COUNTIFS(RESERVAS!$C$6:$C$203,"&lt;="&amp;(DATE($E$2,$K$2,1)-WEEKDAY(DATE($E$2,$K$2,1),2)+1+21),RESERVAS!$D$6:$D$203,"&gt;"&amp;(DATE($E$2,$K$2,1)-WEEKDAY(DATE($E$2,$K$2,1),2)+1+21),RESERVAS!$I$6:$I$203,"&lt;&gt;Cancelada",RESERVAS!$I$6:$I$203,"&lt;&gt;Consulta")=1,"ALUGADA","CONFLITO"))&amp;IF(COUNTIFS(RESERVAS!$C$6:$C$203,"&lt;="&amp;(DATE($E$2,$K$2,1)-WEEKDAY(DATE($E$2,$K$2,1),2)+1+21),RESERVAS!$D$6:$D$203,"&gt;"&amp;(DATE($E$2,$K$2,1)-WEEKDAY(DATE($E$2,$K$2,1),2)+1+21),RESERVAS!$I$6:$I$203,"&lt;&gt;Cancelada",RESERVAS!$I$6:$I$203,"&lt;&gt;Consulta")=0,"",CHAR(10)&amp;IFERROR(LOOKUP(2,1/((RESERVAS!$C$6:$C$203&lt;=(DATE($E$2,$K$2,1)-WEEKDAY(DATE($E$2,$K$2,1),2)+1+21))*(RESERVAS!$D$6:$D$203&gt;(DATE($E$2,$K$2,1)-WEEKDAY(DATE($E$2,$K$2,1),2)+1+21))*(RESERVAS!$I$6:$I$203&lt;&gt;"Cancelada")*(RESERVAS!$I$6:$I$203&lt;&gt;"Consulta")),RESERVAS!$B$6:$B$203)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$203,"&lt;="&amp;(DATE($E$2,$K$2,1)-WEEKDAY(DATE($E$2,$K$2,1),2)+1+22),RESERVAS!$D$6:$D$203,"&gt;"&amp;(DATE($E$2,$K$2,1)-WEEKDAY(DATE($E$2,$K$2,1),2)+1+22),RESERVAS!$I$6:$I$203,"&lt;&gt;Cancelada",RESERVAS!$I$6:$I$203,"&lt;&gt;Consulta")=0,"DISPONÍVEL",IF(COUNTIFS(RESERVAS!$C$6:$C$203,"&lt;="&amp;(DATE($E$2,$K$2,1)-WEEKDAY(DATE($E$2,$K$2,1),2)+1+22),RESERVAS!$D$6:$D$203,"&gt;"&amp;(DATE($E$2,$K$2,1)-WEEKDAY(DATE($E$2,$K$2,1),2)+1+22),RESERVAS!$I$6:$I$203,"&lt;&gt;Cancelada",RESERVAS!$I$6:$I$203,"&lt;&gt;Consulta")=1,"ALUGADA","CONFLITO"))&amp;IF(COUNTIFS(RESERVAS!$C$6:$C$203,"&lt;="&amp;(DATE($E$2,$K$2,1)-WEEKDAY(DATE($E$2,$K$2,1),2)+1+22),RESERVAS!$D$6:$D$203,"&gt;"&amp;(DATE($E$2,$K$2,1)-WEEKDAY(DATE($E$2,$K$2,1),2)+1+22),RESERVAS!$I$6:$I$203,"&lt;&gt;Cancelada",RESERVAS!$I$6:$I$203,"&lt;&gt;Consulta")=0,"",CHAR(10)&amp;IFERROR(LOOKUP(2,1/((RESERVAS!$C$6:$C$203&lt;=(DATE($E$2,$K$2,1)-WEEKDAY(DATE($E$2,$K$2,1),2)+1+22))*(RESERVAS!$D$6:$D$203&gt;(DATE($E$2,$K$2,1)-WEEKDAY(DATE($E$2,$K$2,1),2)+1+22))*(RESERVAS!$I$6:$I$203&lt;&gt;"Cancelada")*(RESERVAS!$I$6:$I$203&lt;&gt;"Consulta")),RESERVAS!$B$6:$B$203)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$203,"&lt;="&amp;(DATE($E$2,$K$2,1)-WEEKDAY(DATE($E$2,$K$2,1),2)+1+23),RESERVAS!$D$6:$D$203,"&gt;"&amp;(DATE($E$2,$K$2,1)-WEEKDAY(DATE($E$2,$K$2,1),2)+1+23),RESERVAS!$I$6:$I$203,"&lt;&gt;Cancelada",RESERVAS!$I$6:$I$203,"&lt;&gt;Consulta")=0,"DISPONÍVEL",IF(COUNTIFS(RESERVAS!$C$6:$C$203,"&lt;="&amp;(DATE($E$2,$K$2,1)-WEEKDAY(DATE($E$2,$K$2,1),2)+1+23),RESERVAS!$D$6:$D$203,"&gt;"&amp;(DATE($E$2,$K$2,1)-WEEKDAY(DATE($E$2,$K$2,1),2)+1+23),RESERVAS!$I$6:$I$203,"&lt;&gt;Cancelada",RESERVAS!$I$6:$I$203,"&lt;&gt;Consulta")=1,"ALUGADA","CONFLITO"))&amp;IF(COUNTIFS(RESERVAS!$C$6:$C$203,"&lt;="&amp;(DATE($E$2,$K$2,1)-WEEKDAY(DATE($E$2,$K$2,1),2)+1+23),RESERVAS!$D$6:$D$203,"&gt;"&amp;(DATE($E$2,$K$2,1)-WEEKDAY(DATE($E$2,$K$2,1),2)+1+23),RESERVAS!$I$6:$I$203,"&lt;&gt;Cancelada",RESERVAS!$I$6:$I$203,"&lt;&gt;Consulta")=0,"",CHAR(10)&amp;IFERROR(LOOKUP(2,1/((RESERVAS!$C$6:$C$203&lt;=(DATE($E$2,$K$2,1)-WEEKDAY(DATE($E$2,$K$2,1),2)+1+23))*(RESERVAS!$D$6:$D$203&gt;(DATE($E$2,$K$2,1)-WEEKDAY(DATE($E$2,$K$2,1),2)+1+23))*(RESERVAS!$I$6:$I$203&lt;&gt;"Cancelada")*(RESERVAS!$I$6:$I$203&lt;&gt;"Consulta")),RESERVAS!$B$6:$B$203)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$203,"&lt;="&amp;(DATE($E$2,$K$2,1)-WEEKDAY(DATE($E$2,$K$2,1),2)+1+24),RESERVAS!$D$6:$D$203,"&gt;"&amp;(DATE($E$2,$K$2,1)-WEEKDAY(DATE($E$2,$K$2,1),2)+1+24),RESERVAS!$I$6:$I$203,"&lt;&gt;Cancelada",RESERVAS!$I$6:$I$203,"&lt;&gt;Consulta")=0,"DISPONÍVEL",IF(COUNTIFS(RESERVAS!$C$6:$C$203,"&lt;="&amp;(DATE($E$2,$K$2,1)-WEEKDAY(DATE($E$2,$K$2,1),2)+1+24),RESERVAS!$D$6:$D$203,"&gt;"&amp;(DATE($E$2,$K$2,1)-WEEKDAY(DATE($E$2,$K$2,1),2)+1+24),RESERVAS!$I$6:$I$203,"&lt;&gt;Cancelada",RESERVAS!$I$6:$I$203,"&lt;&gt;Consulta")=1,"ALUGADA","CONFLITO"))&amp;IF(COUNTIFS(RESERVAS!$C$6:$C$203,"&lt;="&amp;(DATE($E$2,$K$2,1)-WEEKDAY(DATE($E$2,$K$2,1),2)+1+24),RESERVAS!$D$6:$D$203,"&gt;"&amp;(DATE($E$2,$K$2,1)-WEEKDAY(DATE($E$2,$K$2,1),2)+1+24),RESERVAS!$I$6:$I$203,"&lt;&gt;Cancelada",RESERVAS!$I$6:$I$203,"&lt;&gt;Consulta")=0,"",CHAR(10)&amp;IFERROR(LOOKUP(2,1/((RESERVAS!$C$6:$C$203&lt;=(DATE($E$2,$K$2,1)-WEEKDAY(DATE($E$2,$K$2,1),2)+1+24))*(RESERVAS!$D$6:$D$203&gt;(DATE($E$2,$K$2,1)-WEEKDAY(DATE($E$2,$K$2,1),2)+1+24))*(RESERVAS!$I$6:$I$203&lt;&gt;"Cancelada")*(RESERVAS!$I$6:$I$203&lt;&gt;"Consulta")),RESERVAS!$B$6:$B$203)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$203,"&lt;="&amp;(DATE($E$2,$K$2,1)-WEEKDAY(DATE($E$2,$K$2,1),2)+1+25),RESERVAS!$D$6:$D$203,"&gt;"&amp;(DATE($E$2,$K$2,1)-WEEKDAY(DATE($E$2,$K$2,1),2)+1+25),RESERVAS!$I$6:$I$203,"&lt;&gt;Cancelada",RESERVAS!$I$6:$I$203,"&lt;&gt;Consulta")=0,"DISPONÍVEL",IF(COUNTIFS(RESERVAS!$C$6:$C$203,"&lt;="&amp;(DATE($E$2,$K$2,1)-WEEKDAY(DATE($E$2,$K$2,1),2)+1+25),RESERVAS!$D$6:$D$203,"&gt;"&amp;(DATE($E$2,$K$2,1)-WEEKDAY(DATE($E$2,$K$2,1),2)+1+25),RESERVAS!$I$6:$I$203,"&lt;&gt;Cancelada",RESERVAS!$I$6:$I$203,"&lt;&gt;Consulta")=1,"ALUGADA","CONFLITO"))&amp;IF(COUNTIFS(RESERVAS!$C$6:$C$203,"&lt;="&amp;(DATE($E$2,$K$2,1)-WEEKDAY(DATE($E$2,$K$2,1),2)+1+25),RESERVAS!$D$6:$D$203,"&gt;"&amp;(DATE($E$2,$K$2,1)-WEEKDAY(DATE($E$2,$K$2,1),2)+1+25),RESERVAS!$I$6:$I$203,"&lt;&gt;Cancelada",RESERVAS!$I$6:$I$203,"&lt;&gt;Consulta")=0,"",CHAR(10)&amp;IFERROR(LOOKUP(2,1/((RESERVAS!$C$6:$C$203&lt;=(DATE($E$2,$K$2,1)-WEEKDAY(DATE($E$2,$K$2,1),2)+1+25))*(RESERVAS!$D$6:$D$203&gt;(DATE($E$2,$K$2,1)-WEEKDAY(DATE($E$2,$K$2,1),2)+1+25))*(RESERVAS!$I$6:$I$203&lt;&gt;"Cancelada")*(RESERVAS!$I$6:$I$203&lt;&gt;"Consulta")),RESERVAS!$B$6:$B$203)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$203,"&lt;="&amp;(DATE($E$2,$K$2,1)-WEEKDAY(DATE($E$2,$K$2,1),2)+1+26),RESERVAS!$D$6:$D$203,"&gt;"&amp;(DATE($E$2,$K$2,1)-WEEKDAY(DATE($E$2,$K$2,1),2)+1+26),RESERVAS!$I$6:$I$203,"&lt;&gt;Cancelada",RESERVAS!$I$6:$I$203,"&lt;&gt;Consulta")=0,"DISPONÍVEL",IF(COUNTIFS(RESERVAS!$C$6:$C$203,"&lt;="&amp;(DATE($E$2,$K$2,1)-WEEKDAY(DATE($E$2,$K$2,1),2)+1+26),RESERVAS!$D$6:$D$203,"&gt;"&amp;(DATE($E$2,$K$2,1)-WEEKDAY(DATE($E$2,$K$2,1),2)+1+26),RESERVAS!$I$6:$I$203,"&lt;&gt;Cancelada",RESERVAS!$I$6:$I$203,"&lt;&gt;Consulta")=1,"ALUGADA","CONFLITO"))&amp;IF(COUNTIFS(RESERVAS!$C$6:$C$203,"&lt;="&amp;(DATE($E$2,$K$2,1)-WEEKDAY(DATE($E$2,$K$2,1),2)+1+26),RESERVAS!$D$6:$D$203,"&gt;"&amp;(DATE($E$2,$K$2,1)-WEEKDAY(DATE($E$2,$K$2,1),2)+1+26),RESERVAS!$I$6:$I$203,"&lt;&gt;Cancelada",RESERVAS!$I$6:$I$203,"&lt;&gt;Consulta")=0,"",CHAR(10)&amp;IFERROR(LOOKUP(2,1/((RESERVAS!$C$6:$C$203&lt;=(DATE($E$2,$K$2,1)-WEEKDAY(DATE($E$2,$K$2,1),2)+1+26))*(RESERVAS!$D$6:$D$203&gt;(DATE($E$2,$K$2,1)-WEEKDAY(DATE($E$2,$K$2,1),2)+1+26))*(RESERVAS!$I$6:$I$203&lt;&gt;"Cancelada")*(RESERVAS!$I$6:$I$203&lt;&gt;"Consulta")),RESERVAS!$B$6:$B$203)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$203,"&lt;="&amp;(DATE($E$2,$K$2,1)-WEEKDAY(DATE($E$2,$K$2,1),2)+1+27),RESERVAS!$D$6:$D$203,"&gt;"&amp;(DATE($E$2,$K$2,1)-WEEKDAY(DATE($E$2,$K$2,1),2)+1+27),RESERVAS!$I$6:$I$203,"&lt;&gt;Cancelada",RESERVAS!$I$6:$I$203,"&lt;&gt;Consulta")=0,"DISPONÍVEL",IF(COUNTIFS(RESERVAS!$C$6:$C$203,"&lt;="&amp;(DATE($E$2,$K$2,1)-WEEKDAY(DATE($E$2,$K$2,1),2)+1+27),RESERVAS!$D$6:$D$203,"&gt;"&amp;(DATE($E$2,$K$2,1)-WEEKDAY(DATE($E$2,$K$2,1),2)+1+27),RESERVAS!$I$6:$I$203,"&lt;&gt;Cancelada",RESERVAS!$I$6:$I$203,"&lt;&gt;Consulta")=1,"ALUGADA","CONFLITO"))&amp;IF(COUNTIFS(RESERVAS!$C$6:$C$203,"&lt;="&amp;(DATE($E$2,$K$2,1)-WEEKDAY(DATE($E$2,$K$2,1),2)+1+27),RESERVAS!$D$6:$D$203,"&gt;"&amp;(DATE($E$2,$K$2,1)-WEEKDAY(DATE($E$2,$K$2,1),2)+1+27),RESERVAS!$I$6:$I$203,"&lt;&gt;Cancelada",RESERVAS!$I$6:$I$203,"&lt;&gt;Consulta")=0,"",CHAR(10)&amp;IFERROR(LOOKUP(2,1/((RESERVAS!$C$6:$C$203&lt;=(DATE($E$2,$K$2,1)-WEEKDAY(DATE($E$2,$K$2,1),2)+1+27))*(RESERVAS!$D$6:$D$203&gt;(DATE($E$2,$K$2,1)-WEEKDAY(DATE($E$2,$K$2,1),2)+1+27))*(RESERVAS!$I$6:$I$203&lt;&gt;"Cancelada")*(RESERVAS!$I$6:$I$203&lt;&gt;"Consulta")),RESERVAS!$B$6:$B$203)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$203,"&lt;="&amp;(DATE($E$2,$K$2,1)-WEEKDAY(DATE($E$2,$K$2,1),2)+1+28),RESERVAS!$D$6:$D$203,"&gt;"&amp;(DATE($E$2,$K$2,1)-WEEKDAY(DATE($E$2,$K$2,1),2)+1+28),RESERVAS!$I$6:$I$203,"&lt;&gt;Cancelada",RESERVAS!$I$6:$I$203,"&lt;&gt;Consulta")=0,"DISPONÍVEL",IF(COUNTIFS(RESERVAS!$C$6:$C$203,"&lt;="&amp;(DATE($E$2,$K$2,1)-WEEKDAY(DATE($E$2,$K$2,1),2)+1+28),RESERVAS!$D$6:$D$203,"&gt;"&amp;(DATE($E$2,$K$2,1)-WEEKDAY(DATE($E$2,$K$2,1),2)+1+28),RESERVAS!$I$6:$I$203,"&lt;&gt;Cancelada",RESERVAS!$I$6:$I$203,"&lt;&gt;Consulta")=1,"ALUGADA","CONFLITO"))&amp;IF(COUNTIFS(RESERVAS!$C$6:$C$203,"&lt;="&amp;(DATE($E$2,$K$2,1)-WEEKDAY(DATE($E$2,$K$2,1),2)+1+28),RESERVAS!$D$6:$D$203,"&gt;"&amp;(DATE($E$2,$K$2,1)-WEEKDAY(DATE($E$2,$K$2,1),2)+1+28),RESERVAS!$I$6:$I$203,"&lt;&gt;Cancelada",RESERVAS!$I$6:$I$203,"&lt;&gt;Consulta")=0,"",CHAR(10)&amp;IFERROR(LOOKUP(2,1/((RESERVAS!$C$6:$C$203&lt;=(DATE($E$2,$K$2,1)-WEEKDAY(DATE($E$2,$K$2,1),2)+1+28))*(RESERVAS!$D$6:$D$203&gt;(DATE($E$2,$K$2,1)-WEEKDAY(DATE($E$2,$K$2,1),2)+1+28))*(RESERVAS!$I$6:$I$203&lt;&gt;"Cancelada")*(RESERVAS!$I$6:$I$203&lt;&gt;"Consulta")),RESERVAS!$B$6:$B$203)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$203,"&lt;="&amp;(DATE($E$2,$K$2,1)-WEEKDAY(DATE($E$2,$K$2,1),2)+1+29),RESERVAS!$D$6:$D$203,"&gt;"&amp;(DATE($E$2,$K$2,1)-WEEKDAY(DATE($E$2,$K$2,1),2)+1+29),RESERVAS!$I$6:$I$203,"&lt;&gt;Cancelada",RESERVAS!$I$6:$I$203,"&lt;&gt;Consulta")=0,"DISPONÍVEL",IF(COUNTIFS(RESERVAS!$C$6:$C$203,"&lt;="&amp;(DATE($E$2,$K$2,1)-WEEKDAY(DATE($E$2,$K$2,1),2)+1+29),RESERVAS!$D$6:$D$203,"&gt;"&amp;(DATE($E$2,$K$2,1)-WEEKDAY(DATE($E$2,$K$2,1),2)+1+29),RESERVAS!$I$6:$I$203,"&lt;&gt;Cancelada",RESERVAS!$I$6:$I$203,"&lt;&gt;Consulta")=1,"ALUGADA","CONFLITO"))&amp;IF(COUNTIFS(RESERVAS!$C$6:$C$203,"&lt;="&amp;(DATE($E$2,$K$2,1)-WEEKDAY(DATE($E$2,$K$2,1),2)+1+29),RESERVAS!$D$6:$D$203,"&gt;"&amp;(DATE($E$2,$K$2,1)-WEEKDAY(DATE($E$2,$K$2,1),2)+1+29),RESERVAS!$I$6:$I$203,"&lt;&gt;Cancelada",RESERVAS!$I$6:$I$203,"&lt;&gt;Consulta")=0,"",CHAR(10)&amp;IFERROR(LOOKUP(2,1/((RESERVAS!$C$6:$C$203&lt;=(DATE($E$2,$K$2,1)-WEEKDAY(DATE($E$2,$K$2,1),2)+1+29))*(RESERVAS!$D$6:$D$203&gt;(DATE($E$2,$K$2,1)-WEEKDAY(DATE($E$2,$K$2,1),2)+1+29))*(RESERVAS!$I$6:$I$203&lt;&gt;"Cancelada")*(RESERVAS!$I$6:$I$203&lt;&gt;"Consulta")),RESERVAS!$B$6:$B$203)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$203,"&lt;="&amp;(DATE($E$2,$K$2,1)-WEEKDAY(DATE($E$2,$K$2,1),2)+1+30),RESERVAS!$D$6:$D$203,"&gt;"&amp;(DATE($E$2,$K$2,1)-WEEKDAY(DATE($E$2,$K$2,1),2)+1+30),RESERVAS!$I$6:$I$203,"&lt;&gt;Cancelada",RESERVAS!$I$6:$I$203,"&lt;&gt;Consulta")=0,"DISPONÍVEL",IF(COUNTIFS(RESERVAS!$C$6:$C$203,"&lt;="&amp;(DATE($E$2,$K$2,1)-WEEKDAY(DATE($E$2,$K$2,1),2)+1+30),RESERVAS!$D$6:$D$203,"&gt;"&amp;(DATE($E$2,$K$2,1)-WEEKDAY(DATE($E$2,$K$2,1),2)+1+30),RESERVAS!$I$6:$I$203,"&lt;&gt;Cancelada",RESERVAS!$I$6:$I$203,"&lt;&gt;Consulta")=1,"ALUGADA","CONFLITO"))&amp;IF(COUNTIFS(RESERVAS!$C$6:$C$203,"&lt;="&amp;(DATE($E$2,$K$2,1)-WEEKDAY(DATE($E$2,$K$2,1),2)+1+30),RESERVAS!$D$6:$D$203,"&gt;"&amp;(DATE($E$2,$K$2,1)-WEEKDAY(DATE($E$2,$K$2,1),2)+1+30),RESERVAS!$I$6:$I$203,"&lt;&gt;Cancelada",RESERVAS!$I$6:$I$203,"&lt;&gt;Consulta")=0,"",CHAR(10)&amp;IFERROR(LOOKUP(2,1/((RESERVAS!$C$6:$C$203&lt;=(DATE($E$2,$K$2,1)-WEEKDAY(DATE($E$2,$K$2,1),2)+1+30))*(RESERVAS!$D$6:$D$203&gt;(DATE($E$2,$K$2,1)-WEEKDAY(DATE($E$2,$K$2,1),2)+1+30))*(RESERVAS!$I$6:$I$203&lt;&gt;"Cancelada")*(RESERVAS!$I$6:$I$203&lt;&gt;"Consulta")),RESERVAS!$B$6:$B$203)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$203,"&lt;="&amp;(DATE($E$2,$K$2,1)-WEEKDAY(DATE($E$2,$K$2,1),2)+1+31),RESERVAS!$D$6:$D$203,"&gt;"&amp;(DATE($E$2,$K$2,1)-WEEKDAY(DATE($E$2,$K$2,1),2)+1+31),RESERVAS!$I$6:$I$203,"&lt;&gt;Cancelada",RESERVAS!$I$6:$I$203,"&lt;&gt;Consulta")=0,"DISPONÍVEL",IF(COUNTIFS(RESERVAS!$C$6:$C$203,"&lt;="&amp;(DATE($E$2,$K$2,1)-WEEKDAY(DATE($E$2,$K$2,1),2)+1+31),RESERVAS!$D$6:$D$203,"&gt;"&amp;(DATE($E$2,$K$2,1)-WEEKDAY(DATE($E$2,$K$2,1),2)+1+31),RESERVAS!$I$6:$I$203,"&lt;&gt;Cancelada",RESERVAS!$I$6:$I$203,"&lt;&gt;Consulta")=1,"ALUGADA","CONFLITO"))&amp;IF(COUNTIFS(RESERVAS!$C$6:$C$203,"&lt;="&amp;(DATE($E$2,$K$2,1)-WEEKDAY(DATE($E$2,$K$2,1),2)+1+31),RESERVAS!$D$6:$D$203,"&gt;"&amp;(DATE($E$2,$K$2,1)-WEEKDAY(DATE($E$2,$K$2,1),2)+1+31),RESERVAS!$I$6:$I$203,"&lt;&gt;Cancelada",RESERVAS!$I$6:$I$203,"&lt;&gt;Consulta")=0,"",CHAR(10)&amp;IFERROR(LOOKUP(2,1/((RESERVAS!$C$6:$C$203&lt;=(DATE($E$2,$K$2,1)-WEEKDAY(DATE($E$2,$K$2,1),2)+1+31))*(RESERVAS!$D$6:$D$203&gt;(DATE($E$2,$K$2,1)-WEEKDAY(DATE($E$2,$K$2,1),2)+1+31))*(RESERVAS!$I$6:$I$203&lt;&gt;"Cancelada")*(RESERVAS!$I$6:$I$203&lt;&gt;"Consulta")),RESERVAS!$B$6:$B$203),"")))</f>
        <v/>
      </c>
      <c r="E9" s="33" t="str">
        <f>IF(MONTH((DATE($E$2,$K$2,1)-WEEKDAY(DATE($E$2,$K$2,1),2)+1+32))&lt;&gt;$K$2,"",TEXT((DATE($E$2,$K$2,1)-WEEKDAY(DATE($E$2,$K$2,1),2)+1+32),"dd")&amp;CHAR(10)&amp;IF(COUNTIFS(RESERVAS!$C$6:$C$203,"&lt;="&amp;(DATE($E$2,$K$2,1)-WEEKDAY(DATE($E$2,$K$2,1),2)+1+32),RESERVAS!$D$6:$D$203,"&gt;"&amp;(DATE($E$2,$K$2,1)-WEEKDAY(DATE($E$2,$K$2,1),2)+1+32),RESERVAS!$I$6:$I$203,"&lt;&gt;Cancelada",RESERVAS!$I$6:$I$203,"&lt;&gt;Consulta")=0,"DISPONÍVEL",IF(COUNTIFS(RESERVAS!$C$6:$C$203,"&lt;="&amp;(DATE($E$2,$K$2,1)-WEEKDAY(DATE($E$2,$K$2,1),2)+1+32),RESERVAS!$D$6:$D$203,"&gt;"&amp;(DATE($E$2,$K$2,1)-WEEKDAY(DATE($E$2,$K$2,1),2)+1+32),RESERVAS!$I$6:$I$203,"&lt;&gt;Cancelada",RESERVAS!$I$6:$I$203,"&lt;&gt;Consulta")=1,"ALUGADA","CONFLITO"))&amp;IF(COUNTIFS(RESERVAS!$C$6:$C$203,"&lt;="&amp;(DATE($E$2,$K$2,1)-WEEKDAY(DATE($E$2,$K$2,1),2)+1+32),RESERVAS!$D$6:$D$203,"&gt;"&amp;(DATE($E$2,$K$2,1)-WEEKDAY(DATE($E$2,$K$2,1),2)+1+32),RESERVAS!$I$6:$I$203,"&lt;&gt;Cancelada",RESERVAS!$I$6:$I$203,"&lt;&gt;Consulta")=0,"",CHAR(10)&amp;IFERROR(LOOKUP(2,1/((RESERVAS!$C$6:$C$203&lt;=(DATE($E$2,$K$2,1)-WEEKDAY(DATE($E$2,$K$2,1),2)+1+32))*(RESERVAS!$D$6:$D$203&gt;(DATE($E$2,$K$2,1)-WEEKDAY(DATE($E$2,$K$2,1),2)+1+32))*(RESERVAS!$I$6:$I$203&lt;&gt;"Cancelada")*(RESERVAS!$I$6:$I$203&lt;&gt;"Consulta")),RESERVAS!$B$6:$B$203),"")))</f>
        <v/>
      </c>
      <c r="F9" s="33" t="str">
        <f>IF(MONTH((DATE($E$2,$K$2,1)-WEEKDAY(DATE($E$2,$K$2,1),2)+1+33))&lt;&gt;$K$2,"",TEXT((DATE($E$2,$K$2,1)-WEEKDAY(DATE($E$2,$K$2,1),2)+1+33),"dd")&amp;CHAR(10)&amp;IF(COUNTIFS(RESERVAS!$C$6:$C$203,"&lt;="&amp;(DATE($E$2,$K$2,1)-WEEKDAY(DATE($E$2,$K$2,1),2)+1+33),RESERVAS!$D$6:$D$203,"&gt;"&amp;(DATE($E$2,$K$2,1)-WEEKDAY(DATE($E$2,$K$2,1),2)+1+33),RESERVAS!$I$6:$I$203,"&lt;&gt;Cancelada",RESERVAS!$I$6:$I$203,"&lt;&gt;Consulta")=0,"DISPONÍVEL",IF(COUNTIFS(RESERVAS!$C$6:$C$203,"&lt;="&amp;(DATE($E$2,$K$2,1)-WEEKDAY(DATE($E$2,$K$2,1),2)+1+33),RESERVAS!$D$6:$D$203,"&gt;"&amp;(DATE($E$2,$K$2,1)-WEEKDAY(DATE($E$2,$K$2,1),2)+1+33),RESERVAS!$I$6:$I$203,"&lt;&gt;Cancelada",RESERVAS!$I$6:$I$203,"&lt;&gt;Consulta")=1,"ALUGADA","CONFLITO"))&amp;IF(COUNTIFS(RESERVAS!$C$6:$C$203,"&lt;="&amp;(DATE($E$2,$K$2,1)-WEEKDAY(DATE($E$2,$K$2,1),2)+1+33),RESERVAS!$D$6:$D$203,"&gt;"&amp;(DATE($E$2,$K$2,1)-WEEKDAY(DATE($E$2,$K$2,1),2)+1+33),RESERVAS!$I$6:$I$203,"&lt;&gt;Cancelada",RESERVAS!$I$6:$I$203,"&lt;&gt;Consulta")=0,"",CHAR(10)&amp;IFERROR(LOOKUP(2,1/((RESERVAS!$C$6:$C$203&lt;=(DATE($E$2,$K$2,1)-WEEKDAY(DATE($E$2,$K$2,1),2)+1+33))*(RESERVAS!$D$6:$D$203&gt;(DATE($E$2,$K$2,1)-WEEKDAY(DATE($E$2,$K$2,1),2)+1+33))*(RESERVAS!$I$6:$I$203&lt;&gt;"Cancelada")*(RESERVAS!$I$6:$I$203&lt;&gt;"Consulta")),RESERVAS!$B$6:$B$203),"")))</f>
        <v/>
      </c>
      <c r="G9" s="34" t="str">
        <f>IF(MONTH((DATE($E$2,$K$2,1)-WEEKDAY(DATE($E$2,$K$2,1),2)+1+34))&lt;&gt;$K$2,"",TEXT((DATE($E$2,$K$2,1)-WEEKDAY(DATE($E$2,$K$2,1),2)+1+34),"dd")&amp;CHAR(10)&amp;IF(COUNTIFS(RESERVAS!$C$6:$C$203,"&lt;="&amp;(DATE($E$2,$K$2,1)-WEEKDAY(DATE($E$2,$K$2,1),2)+1+34),RESERVAS!$D$6:$D$203,"&gt;"&amp;(DATE($E$2,$K$2,1)-WEEKDAY(DATE($E$2,$K$2,1),2)+1+34),RESERVAS!$I$6:$I$203,"&lt;&gt;Cancelada",RESERVAS!$I$6:$I$203,"&lt;&gt;Consulta")=0,"DISPONÍVEL",IF(COUNTIFS(RESERVAS!$C$6:$C$203,"&lt;="&amp;(DATE($E$2,$K$2,1)-WEEKDAY(DATE($E$2,$K$2,1),2)+1+34),RESERVAS!$D$6:$D$203,"&gt;"&amp;(DATE($E$2,$K$2,1)-WEEKDAY(DATE($E$2,$K$2,1),2)+1+34),RESERVAS!$I$6:$I$203,"&lt;&gt;Cancelada",RESERVAS!$I$6:$I$203,"&lt;&gt;Consulta")=1,"ALUGADA","CONFLITO"))&amp;IF(COUNTIFS(RESERVAS!$C$6:$C$203,"&lt;="&amp;(DATE($E$2,$K$2,1)-WEEKDAY(DATE($E$2,$K$2,1),2)+1+34),RESERVAS!$D$6:$D$203,"&gt;"&amp;(DATE($E$2,$K$2,1)-WEEKDAY(DATE($E$2,$K$2,1),2)+1+34),RESERVAS!$I$6:$I$203,"&lt;&gt;Cancelada",RESERVAS!$I$6:$I$203,"&lt;&gt;Consulta")=0,"",CHAR(10)&amp;IFERROR(LOOKUP(2,1/((RESERVAS!$C$6:$C$203&lt;=(DATE($E$2,$K$2,1)-WEEKDAY(DATE($E$2,$K$2,1),2)+1+34))*(RESERVAS!$D$6:$D$203&gt;(DATE($E$2,$K$2,1)-WEEKDAY(DATE($E$2,$K$2,1),2)+1+34))*(RESERVAS!$I$6:$I$203&lt;&gt;"Cancelada")*(RESERVAS!$I$6:$I$203&lt;&gt;"Consulta")),RESERVAS!$B$6:$B$203),"")))</f>
        <v/>
      </c>
      <c r="I9" s="35" t="s">
        <v>7</v>
      </c>
      <c r="J9" s="37">
        <f>SUMPRODUCT((RESERVAS!$C$6:$C$203&lt;DATE($E$2,$K$2+1,1))*(RESERVAS!$D$6:$D$203&gt;DATE($E$2,$K$2,1))*(RESERVAS!$I$6:$I$203&lt;&gt;"Cancelada")*(RESERVAS!$I$6:$I$203&lt;&gt;"Consulta")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$203,"&lt;="&amp;(DATE($E$2,$K$2,1)-WEEKDAY(DATE($E$2,$K$2,1),2)+1+35),RESERVAS!$D$6:$D$203,"&gt;"&amp;(DATE($E$2,$K$2,1)-WEEKDAY(DATE($E$2,$K$2,1),2)+1+35),RESERVAS!$I$6:$I$203,"&lt;&gt;Cancelada",RESERVAS!$I$6:$I$203,"&lt;&gt;Consulta")=0,"DISPONÍVEL",IF(COUNTIFS(RESERVAS!$C$6:$C$203,"&lt;="&amp;(DATE($E$2,$K$2,1)-WEEKDAY(DATE($E$2,$K$2,1),2)+1+35),RESERVAS!$D$6:$D$203,"&gt;"&amp;(DATE($E$2,$K$2,1)-WEEKDAY(DATE($E$2,$K$2,1),2)+1+35),RESERVAS!$I$6:$I$203,"&lt;&gt;Cancelada",RESERVAS!$I$6:$I$203,"&lt;&gt;Consulta")=1,"ALUGADA","CONFLITO"))&amp;IF(COUNTIFS(RESERVAS!$C$6:$C$203,"&lt;="&amp;(DATE($E$2,$K$2,1)-WEEKDAY(DATE($E$2,$K$2,1),2)+1+35),RESERVAS!$D$6:$D$203,"&gt;"&amp;(DATE($E$2,$K$2,1)-WEEKDAY(DATE($E$2,$K$2,1),2)+1+35),RESERVAS!$I$6:$I$203,"&lt;&gt;Cancelada",RESERVAS!$I$6:$I$203,"&lt;&gt;Consulta")=0,"",CHAR(10)&amp;IFERROR(LOOKUP(2,1/((RESERVAS!$C$6:$C$203&lt;=(DATE($E$2,$K$2,1)-WEEKDAY(DATE($E$2,$K$2,1),2)+1+35))*(RESERVAS!$D$6:$D$203&gt;(DATE($E$2,$K$2,1)-WEEKDAY(DATE($E$2,$K$2,1),2)+1+35))*(RESERVAS!$I$6:$I$203&lt;&gt;"Cancelada")*(RESERVAS!$I$6:$I$203&lt;&gt;"Consulta")),RESERVAS!$B$6:$B$203),"")))</f>
        <v/>
      </c>
      <c r="B10" s="33" t="str">
        <f>IF(MONTH((DATE($E$2,$K$2,1)-WEEKDAY(DATE($E$2,$K$2,1),2)+1+36))&lt;&gt;$K$2,"",TEXT((DATE($E$2,$K$2,1)-WEEKDAY(DATE($E$2,$K$2,1),2)+1+36),"dd")&amp;CHAR(10)&amp;IF(COUNTIFS(RESERVAS!$C$6:$C$203,"&lt;="&amp;(DATE($E$2,$K$2,1)-WEEKDAY(DATE($E$2,$K$2,1),2)+1+36),RESERVAS!$D$6:$D$203,"&gt;"&amp;(DATE($E$2,$K$2,1)-WEEKDAY(DATE($E$2,$K$2,1),2)+1+36),RESERVAS!$I$6:$I$203,"&lt;&gt;Cancelada",RESERVAS!$I$6:$I$203,"&lt;&gt;Consulta")=0,"DISPONÍVEL",IF(COUNTIFS(RESERVAS!$C$6:$C$203,"&lt;="&amp;(DATE($E$2,$K$2,1)-WEEKDAY(DATE($E$2,$K$2,1),2)+1+36),RESERVAS!$D$6:$D$203,"&gt;"&amp;(DATE($E$2,$K$2,1)-WEEKDAY(DATE($E$2,$K$2,1),2)+1+36),RESERVAS!$I$6:$I$203,"&lt;&gt;Cancelada",RESERVAS!$I$6:$I$203,"&lt;&gt;Consulta")=1,"ALUGADA","CONFLITO"))&amp;IF(COUNTIFS(RESERVAS!$C$6:$C$203,"&lt;="&amp;(DATE($E$2,$K$2,1)-WEEKDAY(DATE($E$2,$K$2,1),2)+1+36),RESERVAS!$D$6:$D$203,"&gt;"&amp;(DATE($E$2,$K$2,1)-WEEKDAY(DATE($E$2,$K$2,1),2)+1+36),RESERVAS!$I$6:$I$203,"&lt;&gt;Cancelada",RESERVAS!$I$6:$I$203,"&lt;&gt;Consulta")=0,"",CHAR(10)&amp;IFERROR(LOOKUP(2,1/((RESERVAS!$C$6:$C$203&lt;=(DATE($E$2,$K$2,1)-WEEKDAY(DATE($E$2,$K$2,1),2)+1+36))*(RESERVAS!$D$6:$D$203&gt;(DATE($E$2,$K$2,1)-WEEKDAY(DATE($E$2,$K$2,1),2)+1+36))*(RESERVAS!$I$6:$I$203&lt;&gt;"Cancelada")*(RESERVAS!$I$6:$I$203&lt;&gt;"Consulta")),RESERVAS!$B$6:$B$203),"")))</f>
        <v/>
      </c>
      <c r="C10" s="33" t="str">
        <f>IF(MONTH((DATE($E$2,$K$2,1)-WEEKDAY(DATE($E$2,$K$2,1),2)+1+37))&lt;&gt;$K$2,"",TEXT((DATE($E$2,$K$2,1)-WEEKDAY(DATE($E$2,$K$2,1),2)+1+37),"dd")&amp;CHAR(10)&amp;IF(COUNTIFS(RESERVAS!$C$6:$C$203,"&lt;="&amp;(DATE($E$2,$K$2,1)-WEEKDAY(DATE($E$2,$K$2,1),2)+1+37),RESERVAS!$D$6:$D$203,"&gt;"&amp;(DATE($E$2,$K$2,1)-WEEKDAY(DATE($E$2,$K$2,1),2)+1+37),RESERVAS!$I$6:$I$203,"&lt;&gt;Cancelada",RESERVAS!$I$6:$I$203,"&lt;&gt;Consulta")=0,"DISPONÍVEL",IF(COUNTIFS(RESERVAS!$C$6:$C$203,"&lt;="&amp;(DATE($E$2,$K$2,1)-WEEKDAY(DATE($E$2,$K$2,1),2)+1+37),RESERVAS!$D$6:$D$203,"&gt;"&amp;(DATE($E$2,$K$2,1)-WEEKDAY(DATE($E$2,$K$2,1),2)+1+37),RESERVAS!$I$6:$I$203,"&lt;&gt;Cancelada",RESERVAS!$I$6:$I$203,"&lt;&gt;Consulta")=1,"ALUGADA","CONFLITO"))&amp;IF(COUNTIFS(RESERVAS!$C$6:$C$203,"&lt;="&amp;(DATE($E$2,$K$2,1)-WEEKDAY(DATE($E$2,$K$2,1),2)+1+37),RESERVAS!$D$6:$D$203,"&gt;"&amp;(DATE($E$2,$K$2,1)-WEEKDAY(DATE($E$2,$K$2,1),2)+1+37),RESERVAS!$I$6:$I$203,"&lt;&gt;Cancelada",RESERVAS!$I$6:$I$203,"&lt;&gt;Consulta")=0,"",CHAR(10)&amp;IFERROR(LOOKUP(2,1/((RESERVAS!$C$6:$C$203&lt;=(DATE($E$2,$K$2,1)-WEEKDAY(DATE($E$2,$K$2,1),2)+1+37))*(RESERVAS!$D$6:$D$203&gt;(DATE($E$2,$K$2,1)-WEEKDAY(DATE($E$2,$K$2,1),2)+1+37))*(RESERVAS!$I$6:$I$203&lt;&gt;"Cancelada")*(RESERVAS!$I$6:$I$203&lt;&gt;"Consulta")),RESERVAS!$B$6:$B$203),"")))</f>
        <v/>
      </c>
      <c r="D10" s="33" t="str">
        <f>IF(MONTH((DATE($E$2,$K$2,1)-WEEKDAY(DATE($E$2,$K$2,1),2)+1+38))&lt;&gt;$K$2,"",TEXT((DATE($E$2,$K$2,1)-WEEKDAY(DATE($E$2,$K$2,1),2)+1+38),"dd")&amp;CHAR(10)&amp;IF(COUNTIFS(RESERVAS!$C$6:$C$203,"&lt;="&amp;(DATE($E$2,$K$2,1)-WEEKDAY(DATE($E$2,$K$2,1),2)+1+38),RESERVAS!$D$6:$D$203,"&gt;"&amp;(DATE($E$2,$K$2,1)-WEEKDAY(DATE($E$2,$K$2,1),2)+1+38),RESERVAS!$I$6:$I$203,"&lt;&gt;Cancelada",RESERVAS!$I$6:$I$203,"&lt;&gt;Consulta")=0,"DISPONÍVEL",IF(COUNTIFS(RESERVAS!$C$6:$C$203,"&lt;="&amp;(DATE($E$2,$K$2,1)-WEEKDAY(DATE($E$2,$K$2,1),2)+1+38),RESERVAS!$D$6:$D$203,"&gt;"&amp;(DATE($E$2,$K$2,1)-WEEKDAY(DATE($E$2,$K$2,1),2)+1+38),RESERVAS!$I$6:$I$203,"&lt;&gt;Cancelada",RESERVAS!$I$6:$I$203,"&lt;&gt;Consulta")=1,"ALUGADA","CONFLITO"))&amp;IF(COUNTIFS(RESERVAS!$C$6:$C$203,"&lt;="&amp;(DATE($E$2,$K$2,1)-WEEKDAY(DATE($E$2,$K$2,1),2)+1+38),RESERVAS!$D$6:$D$203,"&gt;"&amp;(DATE($E$2,$K$2,1)-WEEKDAY(DATE($E$2,$K$2,1),2)+1+38),RESERVAS!$I$6:$I$203,"&lt;&gt;Cancelada",RESERVAS!$I$6:$I$203,"&lt;&gt;Consulta")=0,"",CHAR(10)&amp;IFERROR(LOOKUP(2,1/((RESERVAS!$C$6:$C$203&lt;=(DATE($E$2,$K$2,1)-WEEKDAY(DATE($E$2,$K$2,1),2)+1+38))*(RESERVAS!$D$6:$D$203&gt;(DATE($E$2,$K$2,1)-WEEKDAY(DATE($E$2,$K$2,1),2)+1+38))*(RESERVAS!$I$6:$I$203&lt;&gt;"Cancelada")*(RESERVAS!$I$6:$I$203&lt;&gt;"Consulta")),RESERVAS!$B$6:$B$203),"")))</f>
        <v/>
      </c>
      <c r="E10" s="33" t="str">
        <f>IF(MONTH((DATE($E$2,$K$2,1)-WEEKDAY(DATE($E$2,$K$2,1),2)+1+39))&lt;&gt;$K$2,"",TEXT((DATE($E$2,$K$2,1)-WEEKDAY(DATE($E$2,$K$2,1),2)+1+39),"dd")&amp;CHAR(10)&amp;IF(COUNTIFS(RESERVAS!$C$6:$C$203,"&lt;="&amp;(DATE($E$2,$K$2,1)-WEEKDAY(DATE($E$2,$K$2,1),2)+1+39),RESERVAS!$D$6:$D$203,"&gt;"&amp;(DATE($E$2,$K$2,1)-WEEKDAY(DATE($E$2,$K$2,1),2)+1+39),RESERVAS!$I$6:$I$203,"&lt;&gt;Cancelada",RESERVAS!$I$6:$I$203,"&lt;&gt;Consulta")=0,"DISPONÍVEL",IF(COUNTIFS(RESERVAS!$C$6:$C$203,"&lt;="&amp;(DATE($E$2,$K$2,1)-WEEKDAY(DATE($E$2,$K$2,1),2)+1+39),RESERVAS!$D$6:$D$203,"&gt;"&amp;(DATE($E$2,$K$2,1)-WEEKDAY(DATE($E$2,$K$2,1),2)+1+39),RESERVAS!$I$6:$I$203,"&lt;&gt;Cancelada",RESERVAS!$I$6:$I$203,"&lt;&gt;Consulta")=1,"ALUGADA","CONFLITO"))&amp;IF(COUNTIFS(RESERVAS!$C$6:$C$203,"&lt;="&amp;(DATE($E$2,$K$2,1)-WEEKDAY(DATE($E$2,$K$2,1),2)+1+39),RESERVAS!$D$6:$D$203,"&gt;"&amp;(DATE($E$2,$K$2,1)-WEEKDAY(DATE($E$2,$K$2,1),2)+1+39),RESERVAS!$I$6:$I$203,"&lt;&gt;Cancelada",RESERVAS!$I$6:$I$203,"&lt;&gt;Consulta")=0,"",CHAR(10)&amp;IFERROR(LOOKUP(2,1/((RESERVAS!$C$6:$C$203&lt;=(DATE($E$2,$K$2,1)-WEEKDAY(DATE($E$2,$K$2,1),2)+1+39))*(RESERVAS!$D$6:$D$203&gt;(DATE($E$2,$K$2,1)-WEEKDAY(DATE($E$2,$K$2,1),2)+1+39))*(RESERVAS!$I$6:$I$203&lt;&gt;"Cancelada")*(RESERVAS!$I$6:$I$203&lt;&gt;"Consulta")),RESERVAS!$B$6:$B$203),"")))</f>
        <v/>
      </c>
      <c r="F10" s="33" t="str">
        <f>IF(MONTH((DATE($E$2,$K$2,1)-WEEKDAY(DATE($E$2,$K$2,1),2)+1+40))&lt;&gt;$K$2,"",TEXT((DATE($E$2,$K$2,1)-WEEKDAY(DATE($E$2,$K$2,1),2)+1+40),"dd")&amp;CHAR(10)&amp;IF(COUNTIFS(RESERVAS!$C$6:$C$203,"&lt;="&amp;(DATE($E$2,$K$2,1)-WEEKDAY(DATE($E$2,$K$2,1),2)+1+40),RESERVAS!$D$6:$D$203,"&gt;"&amp;(DATE($E$2,$K$2,1)-WEEKDAY(DATE($E$2,$K$2,1),2)+1+40),RESERVAS!$I$6:$I$203,"&lt;&gt;Cancelada",RESERVAS!$I$6:$I$203,"&lt;&gt;Consulta")=0,"DISPONÍVEL",IF(COUNTIFS(RESERVAS!$C$6:$C$203,"&lt;="&amp;(DATE($E$2,$K$2,1)-WEEKDAY(DATE($E$2,$K$2,1),2)+1+40),RESERVAS!$D$6:$D$203,"&gt;"&amp;(DATE($E$2,$K$2,1)-WEEKDAY(DATE($E$2,$K$2,1),2)+1+40),RESERVAS!$I$6:$I$203,"&lt;&gt;Cancelada",RESERVAS!$I$6:$I$203,"&lt;&gt;Consulta")=1,"ALUGADA","CONFLITO"))&amp;IF(COUNTIFS(RESERVAS!$C$6:$C$203,"&lt;="&amp;(DATE($E$2,$K$2,1)-WEEKDAY(DATE($E$2,$K$2,1),2)+1+40),RESERVAS!$D$6:$D$203,"&gt;"&amp;(DATE($E$2,$K$2,1)-WEEKDAY(DATE($E$2,$K$2,1),2)+1+40),RESERVAS!$I$6:$I$203,"&lt;&gt;Cancelada",RESERVAS!$I$6:$I$203,"&lt;&gt;Consulta")=0,"",CHAR(10)&amp;IFERROR(LOOKUP(2,1/((RESERVAS!$C$6:$C$203&lt;=(DATE($E$2,$K$2,1)-WEEKDAY(DATE($E$2,$K$2,1),2)+1+40))*(RESERVAS!$D$6:$D$203&gt;(DATE($E$2,$K$2,1)-WEEKDAY(DATE($E$2,$K$2,1),2)+1+40))*(RESERVAS!$I$6:$I$203&lt;&gt;"Cancelada")*(RESERVAS!$I$6:$I$203&lt;&gt;"Consulta")),RESERVAS!$B$6:$B$203),"")))</f>
        <v/>
      </c>
      <c r="G10" s="34" t="str">
        <f>IF(MONTH((DATE($E$2,$K$2,1)-WEEKDAY(DATE($E$2,$K$2,1),2)+1+41))&lt;&gt;$K$2,"",TEXT((DATE($E$2,$K$2,1)-WEEKDAY(DATE($E$2,$K$2,1),2)+1+41),"dd")&amp;CHAR(10)&amp;IF(COUNTIFS(RESERVAS!$C$6:$C$203,"&lt;="&amp;(DATE($E$2,$K$2,1)-WEEKDAY(DATE($E$2,$K$2,1),2)+1+41),RESERVAS!$D$6:$D$203,"&gt;"&amp;(DATE($E$2,$K$2,1)-WEEKDAY(DATE($E$2,$K$2,1),2)+1+41),RESERVAS!$I$6:$I$203,"&lt;&gt;Cancelada",RESERVAS!$I$6:$I$203,"&lt;&gt;Consulta")=0,"DISPONÍVEL",IF(COUNTIFS(RESERVAS!$C$6:$C$203,"&lt;="&amp;(DATE($E$2,$K$2,1)-WEEKDAY(DATE($E$2,$K$2,1),2)+1+41),RESERVAS!$D$6:$D$203,"&gt;"&amp;(DATE($E$2,$K$2,1)-WEEKDAY(DATE($E$2,$K$2,1),2)+1+41),RESERVAS!$I$6:$I$203,"&lt;&gt;Cancelada",RESERVAS!$I$6:$I$203,"&lt;&gt;Consulta")=1,"ALUGADA","CONFLITO"))&amp;IF(COUNTIFS(RESERVAS!$C$6:$C$203,"&lt;="&amp;(DATE($E$2,$K$2,1)-WEEKDAY(DATE($E$2,$K$2,1),2)+1+41),RESERVAS!$D$6:$D$203,"&gt;"&amp;(DATE($E$2,$K$2,1)-WEEKDAY(DATE($E$2,$K$2,1),2)+1+41),RESERVAS!$I$6:$I$203,"&lt;&gt;Cancelada",RESERVAS!$I$6:$I$203,"&lt;&gt;Consulta")=0,"",CHAR(10)&amp;IFERROR(LOOKUP(2,1/((RESERVAS!$C$6:$C$203&lt;=(DATE($E$2,$K$2,1)-WEEKDAY(DATE($E$2,$K$2,1),2)+1+41))*(RESERVAS!$D$6:$D$203&gt;(DATE($E$2,$K$2,1)-WEEKDAY(DATE($E$2,$K$2,1),2)+1+41))*(RESERVAS!$I$6:$I$203&lt;&gt;"Cancelada")*(RESERVAS!$I$6:$I$203&lt;&gt;"Consulta")),RESERVAS!$B$6:$B$203)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7" t="s">
        <v>48</v>
      </c>
      <c r="J12" s="97"/>
      <c r="K12" s="97"/>
      <c r="L12" s="97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33" priority="1">
      <formula>ISNUMBER(SEARCH("DISPONÍVEL",A5))</formula>
    </cfRule>
    <cfRule type="expression" dxfId="32" priority="2">
      <formula>ISNUMBER(SEARCH("ALUGADA",A5))</formula>
    </cfRule>
    <cfRule type="expression" dxfId="31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2"/>
  <sheetViews>
    <sheetView tabSelected="1" topLeftCell="R1" workbookViewId="0">
      <selection activeCell="AD5" sqref="AD5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  <col min="33" max="33" width="12.5" customWidth="1"/>
    <col min="34" max="34" width="15.75" customWidth="1"/>
  </cols>
  <sheetData>
    <row r="1" spans="1:34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34">
      <c r="A3" s="99" t="s">
        <v>117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</row>
    <row r="4" spans="1:34" ht="15">
      <c r="AG4" s="103" t="s">
        <v>133</v>
      </c>
      <c r="AH4" s="103"/>
    </row>
    <row r="5" spans="1:34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  <c r="AC5" s="100" t="s">
        <v>130</v>
      </c>
      <c r="AD5" s="100" t="s">
        <v>131</v>
      </c>
      <c r="AE5" s="102" t="s">
        <v>132</v>
      </c>
      <c r="AG5" s="100" t="s">
        <v>119</v>
      </c>
      <c r="AH5" s="100" t="s">
        <v>120</v>
      </c>
    </row>
    <row r="6" spans="1:34" ht="18">
      <c r="A6" s="53" t="str">
        <f t="shared" ref="A6:A35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5" si="1">IF(OR(B6="",C6="",D6=""),0,MAX(0,D6-C6))</f>
        <v>10</v>
      </c>
      <c r="F6" s="57">
        <v>1100</v>
      </c>
      <c r="G6" s="58">
        <f t="shared" ref="G6:G35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5" si="3">IF(OR(B6="",E6=0),0,S6/E6)</f>
        <v>0</v>
      </c>
      <c r="U6" s="58">
        <f t="shared" ref="U6:U35" si="4">IF(B6="",0,G6-S6)</f>
        <v>11000</v>
      </c>
      <c r="V6" s="58">
        <f t="shared" ref="V6:V35" si="5">IF(OR(B6="",E6=0),0,U6/E6)</f>
        <v>1100</v>
      </c>
      <c r="W6" s="59">
        <f t="shared" ref="W6:W35" si="6">IF(OR(B6="",G6=0),0,U6/G6)</f>
        <v>1</v>
      </c>
      <c r="X6" s="57">
        <v>0</v>
      </c>
      <c r="Y6" s="58">
        <f t="shared" ref="Y6:Y68" si="7">IF(B6="",0,IFERROR(MAX(0,G6-X6),G6))</f>
        <v>11000</v>
      </c>
      <c r="Z6" s="60" t="str">
        <f t="shared" ref="Z6:Z37" si="8">IF(B6="","",IF(COUNTIFS($C$6:$C$203,"&lt;"&amp;D6,$D$6:$D$203,"&gt;"&amp;C6,$I$6:$I$203,"&lt;&gt;Cancelada",$I$6:$I$203,"&lt;&gt;Consulta",$AB$6:$AB$203,$AB6)&gt;1,"CONFLITO","OK"))</f>
        <v>OK</v>
      </c>
      <c r="AA6" s="61" t="s">
        <v>84</v>
      </c>
      <c r="AB6" s="94" t="s">
        <v>119</v>
      </c>
      <c r="AC6">
        <v>0</v>
      </c>
      <c r="AD6">
        <v>0</v>
      </c>
      <c r="AE6" s="101" t="str">
        <f>IF((AC6+AD6)=0,"",AC6+AD6)</f>
        <v/>
      </c>
      <c r="AG6" s="104">
        <f>IFERROR(SUMIF($AB$6:$AB$1000,AG$5,$AE$6:$AE$1000)/COUNTIFS($AB$6:$AB$1000,AG$5,$AE$6:$AE$1000,"&gt;0"),"")</f>
        <v>4.166666666666667</v>
      </c>
      <c r="AH6" s="104">
        <f>IFERROR(SUMIF($AB$6:$AB$1000,AH$5,$AE$6:$AE$1000)/COUNTIFS($AB$6:$AB$1000,AH$5,$AE$6:$AE$1000,"&gt;0"),"")</f>
        <v>5</v>
      </c>
    </row>
    <row r="7" spans="1:34" ht="15.75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106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  <c r="AE7" s="101" t="str">
        <f t="shared" ref="AE7:AE70" si="9">IF((AC7+AD7)=0,"",AC7+AD7)</f>
        <v/>
      </c>
    </row>
    <row r="8" spans="1:34" ht="15.75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106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  <c r="AC8">
        <v>4</v>
      </c>
      <c r="AD8">
        <v>0</v>
      </c>
      <c r="AE8" s="101">
        <f t="shared" si="9"/>
        <v>4</v>
      </c>
    </row>
    <row r="9" spans="1:34" ht="15.75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  <c r="AC9">
        <v>5</v>
      </c>
      <c r="AE9" s="101">
        <f t="shared" si="9"/>
        <v>5</v>
      </c>
    </row>
    <row r="10" spans="1:34" ht="15.75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 t="shared" si="8"/>
        <v>OK</v>
      </c>
      <c r="AA10" s="63"/>
      <c r="AB10" s="94" t="s">
        <v>120</v>
      </c>
      <c r="AC10">
        <v>5</v>
      </c>
      <c r="AE10" s="101">
        <f t="shared" si="9"/>
        <v>5</v>
      </c>
    </row>
    <row r="11" spans="1:34" ht="15.75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  <c r="AC11">
        <v>5</v>
      </c>
      <c r="AE11" s="101">
        <f t="shared" si="9"/>
        <v>5</v>
      </c>
    </row>
    <row r="12" spans="1:34" ht="15.75">
      <c r="A12" s="62" t="str">
        <f t="shared" si="0"/>
        <v>LOC-007</v>
      </c>
      <c r="B12" s="43" t="s">
        <v>125</v>
      </c>
      <c r="C12" s="45">
        <v>46305</v>
      </c>
      <c r="D12" s="45">
        <v>46314</v>
      </c>
      <c r="E12" s="50">
        <f t="shared" si="1"/>
        <v>9</v>
      </c>
      <c r="F12" s="47">
        <f>3874.25/E12</f>
        <v>430.47222222222223</v>
      </c>
      <c r="G12" s="51">
        <f t="shared" si="2"/>
        <v>3874.25</v>
      </c>
      <c r="H12" s="43" t="s">
        <v>89</v>
      </c>
      <c r="I12" s="43" t="s">
        <v>82</v>
      </c>
      <c r="J12" s="54" t="s">
        <v>87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3874.25</v>
      </c>
      <c r="V12" s="51">
        <f t="shared" si="5"/>
        <v>430.47222222222223</v>
      </c>
      <c r="W12" s="52">
        <f t="shared" si="6"/>
        <v>1</v>
      </c>
      <c r="X12" s="47"/>
      <c r="Y12" s="58">
        <f t="shared" si="7"/>
        <v>3874.25</v>
      </c>
      <c r="Z12" s="49" t="str">
        <f t="shared" si="8"/>
        <v>OK</v>
      </c>
      <c r="AA12" s="63"/>
      <c r="AB12" s="94" t="s">
        <v>119</v>
      </c>
      <c r="AE12" s="101" t="str">
        <f t="shared" si="9"/>
        <v/>
      </c>
    </row>
    <row r="13" spans="1:34" ht="15.75">
      <c r="A13" s="62" t="str">
        <f t="shared" si="0"/>
        <v>LOC-008</v>
      </c>
      <c r="B13" s="43" t="s">
        <v>126</v>
      </c>
      <c r="C13" s="45">
        <v>46329</v>
      </c>
      <c r="D13" s="45">
        <v>46344</v>
      </c>
      <c r="E13" s="50">
        <f t="shared" si="1"/>
        <v>15</v>
      </c>
      <c r="F13" s="47">
        <f>6396.57/E13</f>
        <v>426.43799999999999</v>
      </c>
      <c r="G13" s="51">
        <f t="shared" si="2"/>
        <v>6396.57</v>
      </c>
      <c r="H13" s="43" t="s">
        <v>89</v>
      </c>
      <c r="I13" s="43" t="s">
        <v>82</v>
      </c>
      <c r="J13" s="54" t="s">
        <v>87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6396.57</v>
      </c>
      <c r="V13" s="51">
        <f t="shared" si="5"/>
        <v>426.43799999999999</v>
      </c>
      <c r="W13" s="52">
        <f t="shared" si="6"/>
        <v>1</v>
      </c>
      <c r="X13" s="47"/>
      <c r="Y13" s="58">
        <f t="shared" si="7"/>
        <v>6396.57</v>
      </c>
      <c r="Z13" s="49" t="str">
        <f t="shared" si="8"/>
        <v>OK</v>
      </c>
      <c r="AA13" s="63"/>
      <c r="AB13" s="94" t="s">
        <v>119</v>
      </c>
      <c r="AC13">
        <v>1</v>
      </c>
      <c r="AD13">
        <v>1</v>
      </c>
      <c r="AE13" s="101">
        <f t="shared" si="9"/>
        <v>2</v>
      </c>
    </row>
    <row r="14" spans="1:34" ht="15.75">
      <c r="A14" s="62" t="str">
        <f t="shared" si="0"/>
        <v>LOC-009</v>
      </c>
      <c r="B14" s="43" t="s">
        <v>127</v>
      </c>
      <c r="C14" s="45">
        <v>46325</v>
      </c>
      <c r="D14" s="45">
        <v>46329</v>
      </c>
      <c r="E14" s="50">
        <f t="shared" si="1"/>
        <v>4</v>
      </c>
      <c r="F14" s="47">
        <f>2070.85/E14</f>
        <v>517.71249999999998</v>
      </c>
      <c r="G14" s="51">
        <f t="shared" si="2"/>
        <v>2070.85</v>
      </c>
      <c r="H14" s="43" t="s">
        <v>89</v>
      </c>
      <c r="I14" s="43" t="s">
        <v>82</v>
      </c>
      <c r="J14" s="54" t="s">
        <v>87</v>
      </c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2070.85</v>
      </c>
      <c r="V14" s="51">
        <f t="shared" si="5"/>
        <v>517.71249999999998</v>
      </c>
      <c r="W14" s="52">
        <f t="shared" si="6"/>
        <v>1</v>
      </c>
      <c r="X14" s="47"/>
      <c r="Y14" s="58">
        <f t="shared" si="7"/>
        <v>2070.85</v>
      </c>
      <c r="Z14" s="49" t="str">
        <f t="shared" si="8"/>
        <v>OK</v>
      </c>
      <c r="AA14" s="63"/>
      <c r="AB14" s="94" t="s">
        <v>119</v>
      </c>
      <c r="AC14">
        <v>3</v>
      </c>
      <c r="AD14">
        <v>2</v>
      </c>
      <c r="AE14" s="101">
        <f t="shared" si="9"/>
        <v>5</v>
      </c>
    </row>
    <row r="15" spans="1:34" ht="15.75">
      <c r="A15" s="62" t="str">
        <f t="shared" si="0"/>
        <v>LOC-010</v>
      </c>
      <c r="B15" s="43" t="s">
        <v>128</v>
      </c>
      <c r="C15" s="45">
        <v>46299</v>
      </c>
      <c r="D15" s="45">
        <v>46300</v>
      </c>
      <c r="E15" s="50">
        <f t="shared" si="1"/>
        <v>1</v>
      </c>
      <c r="F15" s="47">
        <v>0</v>
      </c>
      <c r="G15" s="51">
        <f t="shared" si="2"/>
        <v>0</v>
      </c>
      <c r="H15" s="43" t="s">
        <v>89</v>
      </c>
      <c r="I15" s="43" t="s">
        <v>106</v>
      </c>
      <c r="J15" s="54" t="s">
        <v>90</v>
      </c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>OK</v>
      </c>
      <c r="AA15" s="63"/>
      <c r="AB15" s="94" t="s">
        <v>119</v>
      </c>
      <c r="AC15">
        <v>4</v>
      </c>
      <c r="AE15" s="101">
        <f t="shared" si="9"/>
        <v>4</v>
      </c>
    </row>
    <row r="16" spans="1:34" ht="15.75">
      <c r="A16" s="62" t="str">
        <f t="shared" si="0"/>
        <v>LOC-011</v>
      </c>
      <c r="B16" s="43" t="s">
        <v>129</v>
      </c>
      <c r="C16" s="45">
        <v>46372</v>
      </c>
      <c r="D16" s="45">
        <v>46377</v>
      </c>
      <c r="E16" s="50">
        <f t="shared" si="1"/>
        <v>5</v>
      </c>
      <c r="F16" s="47">
        <f>2400/E16</f>
        <v>480</v>
      </c>
      <c r="G16" s="51">
        <f t="shared" si="2"/>
        <v>2400</v>
      </c>
      <c r="H16" s="43" t="s">
        <v>89</v>
      </c>
      <c r="I16" s="43" t="s">
        <v>82</v>
      </c>
      <c r="J16" s="54" t="s">
        <v>87</v>
      </c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2400</v>
      </c>
      <c r="V16" s="51">
        <f t="shared" si="5"/>
        <v>480</v>
      </c>
      <c r="W16" s="52">
        <f t="shared" si="6"/>
        <v>1</v>
      </c>
      <c r="X16" s="47"/>
      <c r="Y16" s="58">
        <f t="shared" si="7"/>
        <v>2400</v>
      </c>
      <c r="Z16" s="49" t="str">
        <f t="shared" si="8"/>
        <v>OK</v>
      </c>
      <c r="AA16" s="63"/>
      <c r="AB16" s="94" t="s">
        <v>119</v>
      </c>
      <c r="AC16">
        <v>5</v>
      </c>
      <c r="AE16" s="101">
        <f t="shared" si="9"/>
        <v>5</v>
      </c>
    </row>
    <row r="17" spans="1:31" ht="15.75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  <c r="AE17" s="101" t="str">
        <f t="shared" si="9"/>
        <v/>
      </c>
    </row>
    <row r="18" spans="1:31" ht="15.75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  <c r="AE18" s="101" t="str">
        <f t="shared" si="9"/>
        <v/>
      </c>
    </row>
    <row r="19" spans="1:31" ht="15.75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  <c r="AE19" s="101" t="str">
        <f t="shared" si="9"/>
        <v/>
      </c>
    </row>
    <row r="20" spans="1:31" ht="15.75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  <c r="AE20" s="101" t="str">
        <f t="shared" si="9"/>
        <v/>
      </c>
    </row>
    <row r="21" spans="1:31" ht="15.75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  <c r="AE21" s="101" t="str">
        <f t="shared" si="9"/>
        <v/>
      </c>
    </row>
    <row r="22" spans="1:31" ht="15.75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  <c r="AE22" s="101" t="str">
        <f t="shared" si="9"/>
        <v/>
      </c>
    </row>
    <row r="23" spans="1:31" ht="15.75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  <c r="AE23" s="101" t="str">
        <f t="shared" si="9"/>
        <v/>
      </c>
    </row>
    <row r="24" spans="1:31" ht="15.75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  <c r="AE24" s="101" t="str">
        <f t="shared" si="9"/>
        <v/>
      </c>
    </row>
    <row r="25" spans="1:31" ht="15.75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  <c r="AE25" s="101" t="str">
        <f t="shared" si="9"/>
        <v/>
      </c>
    </row>
    <row r="26" spans="1:31" ht="15.75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  <c r="AE26" s="101" t="str">
        <f t="shared" si="9"/>
        <v/>
      </c>
    </row>
    <row r="27" spans="1:31" ht="15.75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  <c r="AE27" s="101" t="str">
        <f t="shared" si="9"/>
        <v/>
      </c>
    </row>
    <row r="28" spans="1:31" ht="15.75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  <c r="AE28" s="101" t="str">
        <f t="shared" si="9"/>
        <v/>
      </c>
    </row>
    <row r="29" spans="1:31" ht="15.75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  <c r="AE29" s="101" t="str">
        <f t="shared" si="9"/>
        <v/>
      </c>
    </row>
    <row r="30" spans="1:31" ht="15.75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  <c r="AE30" s="101" t="str">
        <f t="shared" si="9"/>
        <v/>
      </c>
    </row>
    <row r="31" spans="1:31" ht="15.75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  <c r="AE31" s="101" t="str">
        <f t="shared" si="9"/>
        <v/>
      </c>
    </row>
    <row r="32" spans="1:31" ht="15.75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  <c r="AE32" s="101" t="str">
        <f t="shared" si="9"/>
        <v/>
      </c>
    </row>
    <row r="33" spans="1:31" ht="15.75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  <c r="AE33" s="101" t="str">
        <f t="shared" si="9"/>
        <v/>
      </c>
    </row>
    <row r="34" spans="1:31" ht="15.75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  <c r="AE34" s="101" t="str">
        <f t="shared" si="9"/>
        <v/>
      </c>
    </row>
    <row r="35" spans="1:31" ht="15.75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  <c r="AE35" s="101" t="str">
        <f t="shared" si="9"/>
        <v/>
      </c>
    </row>
    <row r="36" spans="1:31" ht="15.75">
      <c r="A36" s="62" t="str">
        <f t="shared" ref="A36:A67" si="10">IF(B36="","","LOC-"&amp;TEXT(ROW()-5,"000"))</f>
        <v/>
      </c>
      <c r="B36" s="43"/>
      <c r="C36" s="45"/>
      <c r="D36" s="45"/>
      <c r="E36" s="50">
        <f t="shared" ref="E36:E67" si="11">IF(OR(B36="",C36="",D36=""),0,MAX(0,D36-C36))</f>
        <v>0</v>
      </c>
      <c r="F36" s="47"/>
      <c r="G36" s="51">
        <f t="shared" ref="G36:G67" si="12">IF(OR(B36="",E36=0,F36=""),0,E36*F36)</f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ref="T36:T67" si="13">IF(OR(B36="",E36=0),0,S36/E36)</f>
        <v>0</v>
      </c>
      <c r="U36" s="51">
        <f t="shared" ref="U36:U67" si="14">IF(B36="",0,G36-S36)</f>
        <v>0</v>
      </c>
      <c r="V36" s="51">
        <f t="shared" ref="V36:V67" si="15">IF(OR(B36="",E36=0),0,U36/E36)</f>
        <v>0</v>
      </c>
      <c r="W36" s="52">
        <f t="shared" ref="W36:W67" si="16">IF(OR(B36="",G36=0),0,U36/G36)</f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  <c r="AE36" s="101" t="str">
        <f t="shared" si="9"/>
        <v/>
      </c>
    </row>
    <row r="37" spans="1:31" ht="15.75">
      <c r="A37" s="62" t="str">
        <f t="shared" si="10"/>
        <v/>
      </c>
      <c r="B37" s="43"/>
      <c r="C37" s="45"/>
      <c r="D37" s="45"/>
      <c r="E37" s="50">
        <f t="shared" si="11"/>
        <v>0</v>
      </c>
      <c r="F37" s="47"/>
      <c r="G37" s="51">
        <f t="shared" si="12"/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si="13"/>
        <v>0</v>
      </c>
      <c r="U37" s="51">
        <f t="shared" si="14"/>
        <v>0</v>
      </c>
      <c r="V37" s="51">
        <f t="shared" si="15"/>
        <v>0</v>
      </c>
      <c r="W37" s="52">
        <f t="shared" si="16"/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  <c r="AE37" s="101" t="str">
        <f t="shared" si="9"/>
        <v/>
      </c>
    </row>
    <row r="38" spans="1:31" ht="15.75">
      <c r="A38" s="62" t="str">
        <f t="shared" si="10"/>
        <v/>
      </c>
      <c r="B38" s="43"/>
      <c r="C38" s="45"/>
      <c r="D38" s="45"/>
      <c r="E38" s="50">
        <f t="shared" si="11"/>
        <v>0</v>
      </c>
      <c r="F38" s="47"/>
      <c r="G38" s="51">
        <f t="shared" si="12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3"/>
        <v>0</v>
      </c>
      <c r="U38" s="51">
        <f t="shared" si="14"/>
        <v>0</v>
      </c>
      <c r="V38" s="51">
        <f t="shared" si="15"/>
        <v>0</v>
      </c>
      <c r="W38" s="52">
        <f t="shared" si="16"/>
        <v>0</v>
      </c>
      <c r="X38" s="47"/>
      <c r="Y38" s="58">
        <f t="shared" si="7"/>
        <v>0</v>
      </c>
      <c r="Z38" s="49" t="str">
        <f t="shared" ref="Z38:Z69" si="17">IF(B38="","",IF(COUNTIFS($C$6:$C$203,"&lt;"&amp;D38,$D$6:$D$203,"&gt;"&amp;C38,$I$6:$I$203,"&lt;&gt;Cancelada",$I$6:$I$203,"&lt;&gt;Consulta",$AB$6:$AB$203,$AB38)&gt;1,"CONFLITO","OK"))</f>
        <v/>
      </c>
      <c r="AA38" s="63"/>
      <c r="AB38" s="94"/>
      <c r="AE38" s="101" t="str">
        <f t="shared" si="9"/>
        <v/>
      </c>
    </row>
    <row r="39" spans="1:31" ht="15.75">
      <c r="A39" s="62" t="str">
        <f t="shared" si="10"/>
        <v/>
      </c>
      <c r="B39" s="43"/>
      <c r="C39" s="45"/>
      <c r="D39" s="45"/>
      <c r="E39" s="50">
        <f t="shared" si="11"/>
        <v>0</v>
      </c>
      <c r="F39" s="47"/>
      <c r="G39" s="51">
        <f t="shared" si="12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3"/>
        <v>0</v>
      </c>
      <c r="U39" s="51">
        <f t="shared" si="14"/>
        <v>0</v>
      </c>
      <c r="V39" s="51">
        <f t="shared" si="15"/>
        <v>0</v>
      </c>
      <c r="W39" s="52">
        <f t="shared" si="16"/>
        <v>0</v>
      </c>
      <c r="X39" s="47"/>
      <c r="Y39" s="58">
        <f t="shared" si="7"/>
        <v>0</v>
      </c>
      <c r="Z39" s="49" t="str">
        <f t="shared" si="17"/>
        <v/>
      </c>
      <c r="AA39" s="63"/>
      <c r="AB39" s="94"/>
      <c r="AE39" s="101" t="str">
        <f t="shared" si="9"/>
        <v/>
      </c>
    </row>
    <row r="40" spans="1:31" ht="15.75">
      <c r="A40" s="62" t="str">
        <f t="shared" si="10"/>
        <v/>
      </c>
      <c r="B40" s="43"/>
      <c r="C40" s="45"/>
      <c r="D40" s="45"/>
      <c r="E40" s="50">
        <f t="shared" si="11"/>
        <v>0</v>
      </c>
      <c r="F40" s="47"/>
      <c r="G40" s="51">
        <f t="shared" si="12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3"/>
        <v>0</v>
      </c>
      <c r="U40" s="51">
        <f t="shared" si="14"/>
        <v>0</v>
      </c>
      <c r="V40" s="51">
        <f t="shared" si="15"/>
        <v>0</v>
      </c>
      <c r="W40" s="52">
        <f t="shared" si="16"/>
        <v>0</v>
      </c>
      <c r="X40" s="47"/>
      <c r="Y40" s="58">
        <f t="shared" si="7"/>
        <v>0</v>
      </c>
      <c r="Z40" s="49" t="str">
        <f t="shared" si="17"/>
        <v/>
      </c>
      <c r="AA40" s="63"/>
      <c r="AB40" s="94"/>
      <c r="AE40" s="101" t="str">
        <f t="shared" si="9"/>
        <v/>
      </c>
    </row>
    <row r="41" spans="1:31" ht="15.75">
      <c r="A41" s="62" t="str">
        <f t="shared" si="10"/>
        <v/>
      </c>
      <c r="B41" s="43"/>
      <c r="C41" s="45"/>
      <c r="D41" s="45"/>
      <c r="E41" s="50">
        <f t="shared" si="11"/>
        <v>0</v>
      </c>
      <c r="F41" s="47"/>
      <c r="G41" s="51">
        <f t="shared" si="12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3"/>
        <v>0</v>
      </c>
      <c r="U41" s="51">
        <f t="shared" si="14"/>
        <v>0</v>
      </c>
      <c r="V41" s="51">
        <f t="shared" si="15"/>
        <v>0</v>
      </c>
      <c r="W41" s="52">
        <f t="shared" si="16"/>
        <v>0</v>
      </c>
      <c r="X41" s="47"/>
      <c r="Y41" s="58">
        <f t="shared" si="7"/>
        <v>0</v>
      </c>
      <c r="Z41" s="49" t="str">
        <f t="shared" si="17"/>
        <v/>
      </c>
      <c r="AA41" s="63"/>
      <c r="AB41" s="94"/>
      <c r="AE41" s="101" t="str">
        <f t="shared" si="9"/>
        <v/>
      </c>
    </row>
    <row r="42" spans="1:31" ht="15.75">
      <c r="A42" s="62" t="str">
        <f t="shared" si="10"/>
        <v/>
      </c>
      <c r="B42" s="43"/>
      <c r="C42" s="45"/>
      <c r="D42" s="45"/>
      <c r="E42" s="50">
        <f t="shared" si="11"/>
        <v>0</v>
      </c>
      <c r="F42" s="47"/>
      <c r="G42" s="51">
        <f t="shared" si="12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3"/>
        <v>0</v>
      </c>
      <c r="U42" s="51">
        <f t="shared" si="14"/>
        <v>0</v>
      </c>
      <c r="V42" s="51">
        <f t="shared" si="15"/>
        <v>0</v>
      </c>
      <c r="W42" s="52">
        <f t="shared" si="16"/>
        <v>0</v>
      </c>
      <c r="X42" s="47"/>
      <c r="Y42" s="58">
        <f t="shared" si="7"/>
        <v>0</v>
      </c>
      <c r="Z42" s="49" t="str">
        <f t="shared" si="17"/>
        <v/>
      </c>
      <c r="AA42" s="63"/>
      <c r="AB42" s="94"/>
      <c r="AE42" s="101" t="str">
        <f t="shared" si="9"/>
        <v/>
      </c>
    </row>
    <row r="43" spans="1:31" ht="15.75">
      <c r="A43" s="62" t="str">
        <f t="shared" si="10"/>
        <v/>
      </c>
      <c r="B43" s="43"/>
      <c r="C43" s="45"/>
      <c r="D43" s="45"/>
      <c r="E43" s="50">
        <f t="shared" si="11"/>
        <v>0</v>
      </c>
      <c r="F43" s="47"/>
      <c r="G43" s="51">
        <f t="shared" si="12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3"/>
        <v>0</v>
      </c>
      <c r="U43" s="51">
        <f t="shared" si="14"/>
        <v>0</v>
      </c>
      <c r="V43" s="51">
        <f t="shared" si="15"/>
        <v>0</v>
      </c>
      <c r="W43" s="52">
        <f t="shared" si="16"/>
        <v>0</v>
      </c>
      <c r="X43" s="47"/>
      <c r="Y43" s="58">
        <f t="shared" si="7"/>
        <v>0</v>
      </c>
      <c r="Z43" s="49" t="str">
        <f t="shared" si="17"/>
        <v/>
      </c>
      <c r="AA43" s="63"/>
      <c r="AB43" s="94"/>
      <c r="AE43" s="101" t="str">
        <f t="shared" si="9"/>
        <v/>
      </c>
    </row>
    <row r="44" spans="1:31" ht="15.75">
      <c r="A44" s="62" t="str">
        <f t="shared" si="10"/>
        <v/>
      </c>
      <c r="B44" s="43"/>
      <c r="C44" s="45"/>
      <c r="D44" s="45"/>
      <c r="E44" s="50">
        <f t="shared" si="11"/>
        <v>0</v>
      </c>
      <c r="F44" s="47"/>
      <c r="G44" s="51">
        <f t="shared" si="12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3"/>
        <v>0</v>
      </c>
      <c r="U44" s="51">
        <f t="shared" si="14"/>
        <v>0</v>
      </c>
      <c r="V44" s="51">
        <f t="shared" si="15"/>
        <v>0</v>
      </c>
      <c r="W44" s="52">
        <f t="shared" si="16"/>
        <v>0</v>
      </c>
      <c r="X44" s="47"/>
      <c r="Y44" s="58">
        <f t="shared" si="7"/>
        <v>0</v>
      </c>
      <c r="Z44" s="49" t="str">
        <f t="shared" si="17"/>
        <v/>
      </c>
      <c r="AA44" s="63"/>
      <c r="AB44" s="94"/>
      <c r="AE44" s="101" t="str">
        <f t="shared" si="9"/>
        <v/>
      </c>
    </row>
    <row r="45" spans="1:31" ht="15.75">
      <c r="A45" s="62" t="str">
        <f t="shared" si="10"/>
        <v/>
      </c>
      <c r="B45" s="43"/>
      <c r="C45" s="45"/>
      <c r="D45" s="45"/>
      <c r="E45" s="50">
        <f t="shared" si="11"/>
        <v>0</v>
      </c>
      <c r="F45" s="47"/>
      <c r="G45" s="51">
        <f t="shared" si="12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3"/>
        <v>0</v>
      </c>
      <c r="U45" s="51">
        <f t="shared" si="14"/>
        <v>0</v>
      </c>
      <c r="V45" s="51">
        <f t="shared" si="15"/>
        <v>0</v>
      </c>
      <c r="W45" s="52">
        <f t="shared" si="16"/>
        <v>0</v>
      </c>
      <c r="X45" s="47"/>
      <c r="Y45" s="58">
        <f t="shared" si="7"/>
        <v>0</v>
      </c>
      <c r="Z45" s="49" t="str">
        <f t="shared" si="17"/>
        <v/>
      </c>
      <c r="AA45" s="63"/>
      <c r="AB45" s="94"/>
      <c r="AE45" s="101" t="str">
        <f t="shared" si="9"/>
        <v/>
      </c>
    </row>
    <row r="46" spans="1:31" ht="15.75">
      <c r="A46" s="62" t="str">
        <f t="shared" si="10"/>
        <v/>
      </c>
      <c r="B46" s="43"/>
      <c r="C46" s="45"/>
      <c r="D46" s="45"/>
      <c r="E46" s="50">
        <f t="shared" si="11"/>
        <v>0</v>
      </c>
      <c r="F46" s="47"/>
      <c r="G46" s="51">
        <f t="shared" si="12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3"/>
        <v>0</v>
      </c>
      <c r="U46" s="51">
        <f t="shared" si="14"/>
        <v>0</v>
      </c>
      <c r="V46" s="51">
        <f t="shared" si="15"/>
        <v>0</v>
      </c>
      <c r="W46" s="52">
        <f t="shared" si="16"/>
        <v>0</v>
      </c>
      <c r="X46" s="47"/>
      <c r="Y46" s="58">
        <f t="shared" si="7"/>
        <v>0</v>
      </c>
      <c r="Z46" s="49" t="str">
        <f t="shared" si="17"/>
        <v/>
      </c>
      <c r="AA46" s="63"/>
      <c r="AB46" s="94"/>
      <c r="AE46" s="101" t="str">
        <f t="shared" si="9"/>
        <v/>
      </c>
    </row>
    <row r="47" spans="1:31" ht="15.75">
      <c r="A47" s="62" t="str">
        <f t="shared" si="10"/>
        <v/>
      </c>
      <c r="B47" s="43"/>
      <c r="C47" s="45"/>
      <c r="D47" s="45"/>
      <c r="E47" s="50">
        <f t="shared" si="11"/>
        <v>0</v>
      </c>
      <c r="F47" s="47"/>
      <c r="G47" s="51">
        <f t="shared" si="12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3"/>
        <v>0</v>
      </c>
      <c r="U47" s="51">
        <f t="shared" si="14"/>
        <v>0</v>
      </c>
      <c r="V47" s="51">
        <f t="shared" si="15"/>
        <v>0</v>
      </c>
      <c r="W47" s="52">
        <f t="shared" si="16"/>
        <v>0</v>
      </c>
      <c r="X47" s="47"/>
      <c r="Y47" s="58">
        <f t="shared" si="7"/>
        <v>0</v>
      </c>
      <c r="Z47" s="49" t="str">
        <f t="shared" si="17"/>
        <v/>
      </c>
      <c r="AA47" s="63"/>
      <c r="AB47" s="94"/>
      <c r="AE47" s="101" t="str">
        <f t="shared" si="9"/>
        <v/>
      </c>
    </row>
    <row r="48" spans="1:31" ht="15.75">
      <c r="A48" s="62" t="str">
        <f t="shared" si="10"/>
        <v/>
      </c>
      <c r="B48" s="43"/>
      <c r="C48" s="45"/>
      <c r="D48" s="45"/>
      <c r="E48" s="50">
        <f t="shared" si="11"/>
        <v>0</v>
      </c>
      <c r="F48" s="47"/>
      <c r="G48" s="51">
        <f t="shared" si="12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3"/>
        <v>0</v>
      </c>
      <c r="U48" s="51">
        <f t="shared" si="14"/>
        <v>0</v>
      </c>
      <c r="V48" s="51">
        <f t="shared" si="15"/>
        <v>0</v>
      </c>
      <c r="W48" s="52">
        <f t="shared" si="16"/>
        <v>0</v>
      </c>
      <c r="X48" s="47"/>
      <c r="Y48" s="58">
        <f t="shared" si="7"/>
        <v>0</v>
      </c>
      <c r="Z48" s="49" t="str">
        <f t="shared" si="17"/>
        <v/>
      </c>
      <c r="AA48" s="63"/>
      <c r="AB48" s="94"/>
      <c r="AE48" s="101" t="str">
        <f t="shared" si="9"/>
        <v/>
      </c>
    </row>
    <row r="49" spans="1:31" ht="15.75">
      <c r="A49" s="62" t="str">
        <f t="shared" si="10"/>
        <v/>
      </c>
      <c r="B49" s="43"/>
      <c r="C49" s="45"/>
      <c r="D49" s="45"/>
      <c r="E49" s="50">
        <f t="shared" si="11"/>
        <v>0</v>
      </c>
      <c r="F49" s="47"/>
      <c r="G49" s="51">
        <f t="shared" si="12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3"/>
        <v>0</v>
      </c>
      <c r="U49" s="51">
        <f t="shared" si="14"/>
        <v>0</v>
      </c>
      <c r="V49" s="51">
        <f t="shared" si="15"/>
        <v>0</v>
      </c>
      <c r="W49" s="52">
        <f t="shared" si="16"/>
        <v>0</v>
      </c>
      <c r="X49" s="47"/>
      <c r="Y49" s="58">
        <f t="shared" si="7"/>
        <v>0</v>
      </c>
      <c r="Z49" s="49" t="str">
        <f t="shared" si="17"/>
        <v/>
      </c>
      <c r="AA49" s="63"/>
      <c r="AB49" s="94"/>
      <c r="AE49" s="101" t="str">
        <f t="shared" si="9"/>
        <v/>
      </c>
    </row>
    <row r="50" spans="1:31" ht="15.75">
      <c r="A50" s="62" t="str">
        <f t="shared" si="10"/>
        <v/>
      </c>
      <c r="B50" s="43"/>
      <c r="C50" s="45"/>
      <c r="D50" s="45"/>
      <c r="E50" s="50">
        <f t="shared" si="11"/>
        <v>0</v>
      </c>
      <c r="F50" s="47"/>
      <c r="G50" s="51">
        <f t="shared" si="12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3"/>
        <v>0</v>
      </c>
      <c r="U50" s="51">
        <f t="shared" si="14"/>
        <v>0</v>
      </c>
      <c r="V50" s="51">
        <f t="shared" si="15"/>
        <v>0</v>
      </c>
      <c r="W50" s="52">
        <f t="shared" si="16"/>
        <v>0</v>
      </c>
      <c r="X50" s="47"/>
      <c r="Y50" s="58">
        <f t="shared" si="7"/>
        <v>0</v>
      </c>
      <c r="Z50" s="49" t="str">
        <f t="shared" si="17"/>
        <v/>
      </c>
      <c r="AA50" s="63"/>
      <c r="AB50" s="94"/>
      <c r="AE50" s="101" t="str">
        <f t="shared" si="9"/>
        <v/>
      </c>
    </row>
    <row r="51" spans="1:31" ht="15.75">
      <c r="A51" s="62" t="str">
        <f t="shared" si="10"/>
        <v/>
      </c>
      <c r="B51" s="43"/>
      <c r="C51" s="45"/>
      <c r="D51" s="45"/>
      <c r="E51" s="50">
        <f t="shared" si="11"/>
        <v>0</v>
      </c>
      <c r="F51" s="47"/>
      <c r="G51" s="51">
        <f t="shared" si="12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3"/>
        <v>0</v>
      </c>
      <c r="U51" s="51">
        <f t="shared" si="14"/>
        <v>0</v>
      </c>
      <c r="V51" s="51">
        <f t="shared" si="15"/>
        <v>0</v>
      </c>
      <c r="W51" s="52">
        <f t="shared" si="16"/>
        <v>0</v>
      </c>
      <c r="X51" s="47"/>
      <c r="Y51" s="58">
        <f t="shared" si="7"/>
        <v>0</v>
      </c>
      <c r="Z51" s="49" t="str">
        <f t="shared" si="17"/>
        <v/>
      </c>
      <c r="AA51" s="63"/>
      <c r="AB51" s="94"/>
      <c r="AE51" s="101" t="str">
        <f t="shared" si="9"/>
        <v/>
      </c>
    </row>
    <row r="52" spans="1:31" ht="15.75">
      <c r="A52" s="62" t="str">
        <f t="shared" si="10"/>
        <v/>
      </c>
      <c r="B52" s="43"/>
      <c r="C52" s="45"/>
      <c r="D52" s="45"/>
      <c r="E52" s="50">
        <f t="shared" si="11"/>
        <v>0</v>
      </c>
      <c r="F52" s="47"/>
      <c r="G52" s="51">
        <f t="shared" si="12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3"/>
        <v>0</v>
      </c>
      <c r="U52" s="51">
        <f t="shared" si="14"/>
        <v>0</v>
      </c>
      <c r="V52" s="51">
        <f t="shared" si="15"/>
        <v>0</v>
      </c>
      <c r="W52" s="52">
        <f t="shared" si="16"/>
        <v>0</v>
      </c>
      <c r="X52" s="47"/>
      <c r="Y52" s="58">
        <f t="shared" si="7"/>
        <v>0</v>
      </c>
      <c r="Z52" s="49" t="str">
        <f t="shared" si="17"/>
        <v/>
      </c>
      <c r="AA52" s="63"/>
      <c r="AB52" s="94"/>
      <c r="AE52" s="101" t="str">
        <f t="shared" si="9"/>
        <v/>
      </c>
    </row>
    <row r="53" spans="1:31" ht="15.75">
      <c r="A53" s="62" t="str">
        <f t="shared" si="10"/>
        <v/>
      </c>
      <c r="B53" s="43"/>
      <c r="C53" s="45"/>
      <c r="D53" s="45"/>
      <c r="E53" s="50">
        <f t="shared" si="11"/>
        <v>0</v>
      </c>
      <c r="F53" s="47"/>
      <c r="G53" s="51">
        <f t="shared" si="12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3"/>
        <v>0</v>
      </c>
      <c r="U53" s="51">
        <f t="shared" si="14"/>
        <v>0</v>
      </c>
      <c r="V53" s="51">
        <f t="shared" si="15"/>
        <v>0</v>
      </c>
      <c r="W53" s="52">
        <f t="shared" si="16"/>
        <v>0</v>
      </c>
      <c r="X53" s="47"/>
      <c r="Y53" s="58">
        <f t="shared" si="7"/>
        <v>0</v>
      </c>
      <c r="Z53" s="49" t="str">
        <f t="shared" si="17"/>
        <v/>
      </c>
      <c r="AA53" s="63"/>
      <c r="AB53" s="94"/>
      <c r="AE53" s="101" t="str">
        <f t="shared" si="9"/>
        <v/>
      </c>
    </row>
    <row r="54" spans="1:31" ht="15.75">
      <c r="A54" s="62" t="str">
        <f t="shared" si="10"/>
        <v/>
      </c>
      <c r="B54" s="43"/>
      <c r="C54" s="45"/>
      <c r="D54" s="45"/>
      <c r="E54" s="50">
        <f t="shared" si="11"/>
        <v>0</v>
      </c>
      <c r="F54" s="47"/>
      <c r="G54" s="51">
        <f t="shared" si="12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3"/>
        <v>0</v>
      </c>
      <c r="U54" s="51">
        <f t="shared" si="14"/>
        <v>0</v>
      </c>
      <c r="V54" s="51">
        <f t="shared" si="15"/>
        <v>0</v>
      </c>
      <c r="W54" s="52">
        <f t="shared" si="16"/>
        <v>0</v>
      </c>
      <c r="X54" s="47"/>
      <c r="Y54" s="58">
        <f t="shared" si="7"/>
        <v>0</v>
      </c>
      <c r="Z54" s="49" t="str">
        <f t="shared" si="17"/>
        <v/>
      </c>
      <c r="AA54" s="63"/>
      <c r="AB54" s="94"/>
      <c r="AE54" s="101" t="str">
        <f t="shared" si="9"/>
        <v/>
      </c>
    </row>
    <row r="55" spans="1:31" ht="15.75">
      <c r="A55" s="62" t="str">
        <f t="shared" si="10"/>
        <v/>
      </c>
      <c r="B55" s="43"/>
      <c r="C55" s="45"/>
      <c r="D55" s="45"/>
      <c r="E55" s="50">
        <f t="shared" si="11"/>
        <v>0</v>
      </c>
      <c r="F55" s="47"/>
      <c r="G55" s="51">
        <f t="shared" si="12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3"/>
        <v>0</v>
      </c>
      <c r="U55" s="51">
        <f t="shared" si="14"/>
        <v>0</v>
      </c>
      <c r="V55" s="51">
        <f t="shared" si="15"/>
        <v>0</v>
      </c>
      <c r="W55" s="52">
        <f t="shared" si="16"/>
        <v>0</v>
      </c>
      <c r="X55" s="47"/>
      <c r="Y55" s="58">
        <f t="shared" si="7"/>
        <v>0</v>
      </c>
      <c r="Z55" s="49" t="str">
        <f t="shared" si="17"/>
        <v/>
      </c>
      <c r="AA55" s="63"/>
      <c r="AB55" s="94"/>
      <c r="AE55" s="101" t="str">
        <f t="shared" si="9"/>
        <v/>
      </c>
    </row>
    <row r="56" spans="1:31" ht="15.75">
      <c r="A56" s="62" t="str">
        <f t="shared" si="10"/>
        <v/>
      </c>
      <c r="B56" s="43"/>
      <c r="C56" s="45"/>
      <c r="D56" s="45"/>
      <c r="E56" s="50">
        <f t="shared" si="11"/>
        <v>0</v>
      </c>
      <c r="F56" s="47"/>
      <c r="G56" s="51">
        <f t="shared" si="12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3"/>
        <v>0</v>
      </c>
      <c r="U56" s="51">
        <f t="shared" si="14"/>
        <v>0</v>
      </c>
      <c r="V56" s="51">
        <f t="shared" si="15"/>
        <v>0</v>
      </c>
      <c r="W56" s="52">
        <f t="shared" si="16"/>
        <v>0</v>
      </c>
      <c r="X56" s="47"/>
      <c r="Y56" s="58">
        <f t="shared" si="7"/>
        <v>0</v>
      </c>
      <c r="Z56" s="49" t="str">
        <f t="shared" si="17"/>
        <v/>
      </c>
      <c r="AA56" s="63"/>
      <c r="AB56" s="94"/>
      <c r="AE56" s="101" t="str">
        <f t="shared" si="9"/>
        <v/>
      </c>
    </row>
    <row r="57" spans="1:31" ht="15.75">
      <c r="A57" s="62" t="str">
        <f t="shared" si="10"/>
        <v/>
      </c>
      <c r="B57" s="43"/>
      <c r="C57" s="45"/>
      <c r="D57" s="45"/>
      <c r="E57" s="50">
        <f t="shared" si="11"/>
        <v>0</v>
      </c>
      <c r="F57" s="47"/>
      <c r="G57" s="51">
        <f t="shared" si="12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3"/>
        <v>0</v>
      </c>
      <c r="U57" s="51">
        <f t="shared" si="14"/>
        <v>0</v>
      </c>
      <c r="V57" s="51">
        <f t="shared" si="15"/>
        <v>0</v>
      </c>
      <c r="W57" s="52">
        <f t="shared" si="16"/>
        <v>0</v>
      </c>
      <c r="X57" s="47"/>
      <c r="Y57" s="58">
        <f t="shared" si="7"/>
        <v>0</v>
      </c>
      <c r="Z57" s="49" t="str">
        <f t="shared" si="17"/>
        <v/>
      </c>
      <c r="AA57" s="63"/>
      <c r="AB57" s="94"/>
      <c r="AE57" s="101" t="str">
        <f t="shared" si="9"/>
        <v/>
      </c>
    </row>
    <row r="58" spans="1:31" ht="15.75">
      <c r="A58" s="62" t="str">
        <f t="shared" si="10"/>
        <v/>
      </c>
      <c r="B58" s="43"/>
      <c r="C58" s="45"/>
      <c r="D58" s="45"/>
      <c r="E58" s="50">
        <f t="shared" si="11"/>
        <v>0</v>
      </c>
      <c r="F58" s="47"/>
      <c r="G58" s="51">
        <f t="shared" si="12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3"/>
        <v>0</v>
      </c>
      <c r="U58" s="51">
        <f t="shared" si="14"/>
        <v>0</v>
      </c>
      <c r="V58" s="51">
        <f t="shared" si="15"/>
        <v>0</v>
      </c>
      <c r="W58" s="52">
        <f t="shared" si="16"/>
        <v>0</v>
      </c>
      <c r="X58" s="47"/>
      <c r="Y58" s="58">
        <f t="shared" si="7"/>
        <v>0</v>
      </c>
      <c r="Z58" s="49" t="str">
        <f t="shared" si="17"/>
        <v/>
      </c>
      <c r="AA58" s="63"/>
      <c r="AB58" s="94"/>
      <c r="AE58" s="101" t="str">
        <f t="shared" si="9"/>
        <v/>
      </c>
    </row>
    <row r="59" spans="1:31" ht="15.75">
      <c r="A59" s="62" t="str">
        <f t="shared" si="10"/>
        <v/>
      </c>
      <c r="B59" s="43"/>
      <c r="C59" s="45"/>
      <c r="D59" s="45"/>
      <c r="E59" s="50">
        <f t="shared" si="11"/>
        <v>0</v>
      </c>
      <c r="F59" s="47"/>
      <c r="G59" s="51">
        <f t="shared" si="12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3"/>
        <v>0</v>
      </c>
      <c r="U59" s="51">
        <f t="shared" si="14"/>
        <v>0</v>
      </c>
      <c r="V59" s="51">
        <f t="shared" si="15"/>
        <v>0</v>
      </c>
      <c r="W59" s="52">
        <f t="shared" si="16"/>
        <v>0</v>
      </c>
      <c r="X59" s="47"/>
      <c r="Y59" s="58">
        <f t="shared" si="7"/>
        <v>0</v>
      </c>
      <c r="Z59" s="49" t="str">
        <f t="shared" si="17"/>
        <v/>
      </c>
      <c r="AA59" s="63"/>
      <c r="AB59" s="94"/>
      <c r="AE59" s="101" t="str">
        <f t="shared" si="9"/>
        <v/>
      </c>
    </row>
    <row r="60" spans="1:31" ht="15.75">
      <c r="A60" s="62" t="str">
        <f t="shared" si="10"/>
        <v/>
      </c>
      <c r="B60" s="43"/>
      <c r="C60" s="45"/>
      <c r="D60" s="45"/>
      <c r="E60" s="50">
        <f t="shared" si="11"/>
        <v>0</v>
      </c>
      <c r="F60" s="47"/>
      <c r="G60" s="51">
        <f t="shared" si="12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3"/>
        <v>0</v>
      </c>
      <c r="U60" s="51">
        <f t="shared" si="14"/>
        <v>0</v>
      </c>
      <c r="V60" s="51">
        <f t="shared" si="15"/>
        <v>0</v>
      </c>
      <c r="W60" s="52">
        <f t="shared" si="16"/>
        <v>0</v>
      </c>
      <c r="X60" s="47"/>
      <c r="Y60" s="58">
        <f t="shared" si="7"/>
        <v>0</v>
      </c>
      <c r="Z60" s="49" t="str">
        <f t="shared" si="17"/>
        <v/>
      </c>
      <c r="AA60" s="63"/>
      <c r="AB60" s="94"/>
      <c r="AE60" s="101" t="str">
        <f t="shared" si="9"/>
        <v/>
      </c>
    </row>
    <row r="61" spans="1:31" ht="15.75">
      <c r="A61" s="62" t="str">
        <f t="shared" si="10"/>
        <v/>
      </c>
      <c r="B61" s="43"/>
      <c r="C61" s="45"/>
      <c r="D61" s="45"/>
      <c r="E61" s="50">
        <f t="shared" si="11"/>
        <v>0</v>
      </c>
      <c r="F61" s="47"/>
      <c r="G61" s="51">
        <f t="shared" si="12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3"/>
        <v>0</v>
      </c>
      <c r="U61" s="51">
        <f t="shared" si="14"/>
        <v>0</v>
      </c>
      <c r="V61" s="51">
        <f t="shared" si="15"/>
        <v>0</v>
      </c>
      <c r="W61" s="52">
        <f t="shared" si="16"/>
        <v>0</v>
      </c>
      <c r="X61" s="47"/>
      <c r="Y61" s="58">
        <f t="shared" si="7"/>
        <v>0</v>
      </c>
      <c r="Z61" s="49" t="str">
        <f t="shared" si="17"/>
        <v/>
      </c>
      <c r="AA61" s="63"/>
      <c r="AB61" s="94"/>
      <c r="AE61" s="101" t="str">
        <f t="shared" si="9"/>
        <v/>
      </c>
    </row>
    <row r="62" spans="1:31" ht="15.75">
      <c r="A62" s="62" t="str">
        <f t="shared" si="10"/>
        <v/>
      </c>
      <c r="B62" s="43"/>
      <c r="C62" s="45"/>
      <c r="D62" s="45"/>
      <c r="E62" s="50">
        <f t="shared" si="11"/>
        <v>0</v>
      </c>
      <c r="F62" s="47"/>
      <c r="G62" s="51">
        <f t="shared" si="12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3"/>
        <v>0</v>
      </c>
      <c r="U62" s="51">
        <f t="shared" si="14"/>
        <v>0</v>
      </c>
      <c r="V62" s="51">
        <f t="shared" si="15"/>
        <v>0</v>
      </c>
      <c r="W62" s="52">
        <f t="shared" si="16"/>
        <v>0</v>
      </c>
      <c r="X62" s="47"/>
      <c r="Y62" s="58">
        <f t="shared" si="7"/>
        <v>0</v>
      </c>
      <c r="Z62" s="49" t="str">
        <f t="shared" si="17"/>
        <v/>
      </c>
      <c r="AA62" s="63"/>
      <c r="AB62" s="94"/>
      <c r="AE62" s="101" t="str">
        <f t="shared" si="9"/>
        <v/>
      </c>
    </row>
    <row r="63" spans="1:31" ht="15.75">
      <c r="A63" s="62" t="str">
        <f t="shared" si="10"/>
        <v/>
      </c>
      <c r="B63" s="43"/>
      <c r="C63" s="45"/>
      <c r="D63" s="45"/>
      <c r="E63" s="50">
        <f t="shared" si="11"/>
        <v>0</v>
      </c>
      <c r="F63" s="47"/>
      <c r="G63" s="51">
        <f t="shared" si="12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3"/>
        <v>0</v>
      </c>
      <c r="U63" s="51">
        <f t="shared" si="14"/>
        <v>0</v>
      </c>
      <c r="V63" s="51">
        <f t="shared" si="15"/>
        <v>0</v>
      </c>
      <c r="W63" s="52">
        <f t="shared" si="16"/>
        <v>0</v>
      </c>
      <c r="X63" s="47"/>
      <c r="Y63" s="58">
        <f t="shared" si="7"/>
        <v>0</v>
      </c>
      <c r="Z63" s="49" t="str">
        <f t="shared" si="17"/>
        <v/>
      </c>
      <c r="AA63" s="63"/>
      <c r="AB63" s="94"/>
      <c r="AE63" s="101" t="str">
        <f t="shared" si="9"/>
        <v/>
      </c>
    </row>
    <row r="64" spans="1:31" ht="15.75">
      <c r="A64" s="62" t="str">
        <f t="shared" si="10"/>
        <v/>
      </c>
      <c r="B64" s="44"/>
      <c r="C64" s="46"/>
      <c r="D64" s="46"/>
      <c r="E64" s="50">
        <f t="shared" si="11"/>
        <v>0</v>
      </c>
      <c r="F64" s="48"/>
      <c r="G64" s="51">
        <f t="shared" si="12"/>
        <v>0</v>
      </c>
      <c r="H64" s="43"/>
      <c r="I64" s="44"/>
      <c r="J64" s="54"/>
      <c r="K64" s="48"/>
      <c r="L64" s="48"/>
      <c r="M64" s="48"/>
      <c r="N64" s="48"/>
      <c r="O64" s="48"/>
      <c r="P64" s="48"/>
      <c r="Q64" s="48"/>
      <c r="R64" s="48"/>
      <c r="S64" s="58">
        <f>IF(B64="",0,SUM(K64:R64)+SUMIFS('DESPESAS CASA'!$D$6:$D$305,'DESPESAS CASA'!$E$6:$E$305,A64))-P64</f>
        <v>0</v>
      </c>
      <c r="T64" s="51">
        <f t="shared" si="13"/>
        <v>0</v>
      </c>
      <c r="U64" s="51">
        <f t="shared" si="14"/>
        <v>0</v>
      </c>
      <c r="V64" s="51">
        <f t="shared" si="15"/>
        <v>0</v>
      </c>
      <c r="W64" s="52">
        <f t="shared" si="16"/>
        <v>0</v>
      </c>
      <c r="X64" s="48"/>
      <c r="Y64" s="58">
        <f t="shared" si="7"/>
        <v>0</v>
      </c>
      <c r="Z64" s="49" t="str">
        <f t="shared" si="17"/>
        <v/>
      </c>
      <c r="AA64" s="64"/>
      <c r="AB64" s="94"/>
      <c r="AE64" s="101" t="str">
        <f t="shared" si="9"/>
        <v/>
      </c>
    </row>
    <row r="65" spans="1:31" ht="15.75">
      <c r="A65" s="62" t="str">
        <f t="shared" si="10"/>
        <v/>
      </c>
      <c r="B65" s="44"/>
      <c r="C65" s="46"/>
      <c r="D65" s="46"/>
      <c r="E65" s="50">
        <f t="shared" si="11"/>
        <v>0</v>
      </c>
      <c r="F65" s="48"/>
      <c r="G65" s="51">
        <f t="shared" si="12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3"/>
        <v>0</v>
      </c>
      <c r="U65" s="51">
        <f t="shared" si="14"/>
        <v>0</v>
      </c>
      <c r="V65" s="51">
        <f t="shared" si="15"/>
        <v>0</v>
      </c>
      <c r="W65" s="52">
        <f t="shared" si="16"/>
        <v>0</v>
      </c>
      <c r="X65" s="48"/>
      <c r="Y65" s="58">
        <f t="shared" si="7"/>
        <v>0</v>
      </c>
      <c r="Z65" s="49" t="str">
        <f t="shared" si="17"/>
        <v/>
      </c>
      <c r="AA65" s="64"/>
      <c r="AB65" s="94"/>
      <c r="AE65" s="101" t="str">
        <f t="shared" si="9"/>
        <v/>
      </c>
    </row>
    <row r="66" spans="1:31" ht="15.75">
      <c r="A66" s="62" t="str">
        <f t="shared" si="10"/>
        <v/>
      </c>
      <c r="B66" s="44"/>
      <c r="C66" s="46"/>
      <c r="D66" s="46"/>
      <c r="E66" s="50">
        <f t="shared" si="11"/>
        <v>0</v>
      </c>
      <c r="F66" s="48"/>
      <c r="G66" s="51">
        <f t="shared" si="12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3"/>
        <v>0</v>
      </c>
      <c r="U66" s="51">
        <f t="shared" si="14"/>
        <v>0</v>
      </c>
      <c r="V66" s="51">
        <f t="shared" si="15"/>
        <v>0</v>
      </c>
      <c r="W66" s="52">
        <f t="shared" si="16"/>
        <v>0</v>
      </c>
      <c r="X66" s="48"/>
      <c r="Y66" s="58">
        <f t="shared" si="7"/>
        <v>0</v>
      </c>
      <c r="Z66" s="49" t="str">
        <f t="shared" si="17"/>
        <v/>
      </c>
      <c r="AA66" s="64"/>
      <c r="AB66" s="94"/>
      <c r="AE66" s="101" t="str">
        <f t="shared" si="9"/>
        <v/>
      </c>
    </row>
    <row r="67" spans="1:31" ht="15.75">
      <c r="A67" s="62" t="str">
        <f t="shared" si="10"/>
        <v/>
      </c>
      <c r="B67" s="44"/>
      <c r="C67" s="46"/>
      <c r="D67" s="46"/>
      <c r="E67" s="50">
        <f t="shared" si="11"/>
        <v>0</v>
      </c>
      <c r="F67" s="48"/>
      <c r="G67" s="51">
        <f t="shared" si="12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3"/>
        <v>0</v>
      </c>
      <c r="U67" s="51">
        <f t="shared" si="14"/>
        <v>0</v>
      </c>
      <c r="V67" s="51">
        <f t="shared" si="15"/>
        <v>0</v>
      </c>
      <c r="W67" s="52">
        <f t="shared" si="16"/>
        <v>0</v>
      </c>
      <c r="X67" s="48"/>
      <c r="Y67" s="58">
        <f t="shared" si="7"/>
        <v>0</v>
      </c>
      <c r="Z67" s="49" t="str">
        <f t="shared" si="17"/>
        <v/>
      </c>
      <c r="AA67" s="64"/>
      <c r="AB67" s="94"/>
      <c r="AE67" s="101" t="str">
        <f t="shared" si="9"/>
        <v/>
      </c>
    </row>
    <row r="68" spans="1:31" ht="15.75">
      <c r="A68" s="62" t="str">
        <f t="shared" ref="A68:A99" si="18">IF(B68="","","LOC-"&amp;TEXT(ROW()-5,"000"))</f>
        <v/>
      </c>
      <c r="B68" s="44"/>
      <c r="C68" s="46"/>
      <c r="D68" s="46"/>
      <c r="E68" s="50">
        <f t="shared" ref="E68:E99" si="19">IF(OR(B68="",C68="",D68=""),0,MAX(0,D68-C68))</f>
        <v>0</v>
      </c>
      <c r="F68" s="48"/>
      <c r="G68" s="51">
        <f t="shared" ref="G68:G99" si="20">IF(OR(B68="",E68=0,F68=""),0,E68*F68)</f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ref="T68:T99" si="21">IF(OR(B68="",E68=0),0,S68/E68)</f>
        <v>0</v>
      </c>
      <c r="U68" s="51">
        <f t="shared" ref="U68:U99" si="22">IF(B68="",0,G68-S68)</f>
        <v>0</v>
      </c>
      <c r="V68" s="51">
        <f t="shared" ref="V68:V99" si="23">IF(OR(B68="",E68=0),0,U68/E68)</f>
        <v>0</v>
      </c>
      <c r="W68" s="52">
        <f t="shared" ref="W68:W99" si="24">IF(OR(B68="",G68=0),0,U68/G68)</f>
        <v>0</v>
      </c>
      <c r="X68" s="48"/>
      <c r="Y68" s="58">
        <f t="shared" si="7"/>
        <v>0</v>
      </c>
      <c r="Z68" s="49" t="str">
        <f t="shared" si="17"/>
        <v/>
      </c>
      <c r="AA68" s="64"/>
      <c r="AB68" s="94"/>
      <c r="AE68" s="101" t="str">
        <f t="shared" si="9"/>
        <v/>
      </c>
    </row>
    <row r="69" spans="1:31" ht="15.75">
      <c r="A69" s="62" t="str">
        <f t="shared" si="18"/>
        <v/>
      </c>
      <c r="B69" s="44"/>
      <c r="C69" s="46"/>
      <c r="D69" s="46"/>
      <c r="E69" s="50">
        <f t="shared" si="19"/>
        <v>0</v>
      </c>
      <c r="F69" s="48"/>
      <c r="G69" s="51">
        <f t="shared" si="20"/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si="21"/>
        <v>0</v>
      </c>
      <c r="U69" s="51">
        <f t="shared" si="22"/>
        <v>0</v>
      </c>
      <c r="V69" s="51">
        <f t="shared" si="23"/>
        <v>0</v>
      </c>
      <c r="W69" s="52">
        <f t="shared" si="24"/>
        <v>0</v>
      </c>
      <c r="X69" s="48"/>
      <c r="Y69" s="58">
        <f t="shared" ref="Y69:Y132" si="25">IF(B69="",0,IFERROR(MAX(0,G69-X69),G69))</f>
        <v>0</v>
      </c>
      <c r="Z69" s="49" t="str">
        <f t="shared" si="17"/>
        <v/>
      </c>
      <c r="AA69" s="64"/>
      <c r="AB69" s="94"/>
      <c r="AE69" s="101" t="str">
        <f t="shared" si="9"/>
        <v/>
      </c>
    </row>
    <row r="70" spans="1:31" ht="15.75">
      <c r="A70" s="62" t="str">
        <f t="shared" si="18"/>
        <v/>
      </c>
      <c r="B70" s="44"/>
      <c r="C70" s="46"/>
      <c r="D70" s="46"/>
      <c r="E70" s="50">
        <f t="shared" si="19"/>
        <v>0</v>
      </c>
      <c r="F70" s="48"/>
      <c r="G70" s="51">
        <f t="shared" si="20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1"/>
        <v>0</v>
      </c>
      <c r="U70" s="51">
        <f t="shared" si="22"/>
        <v>0</v>
      </c>
      <c r="V70" s="51">
        <f t="shared" si="23"/>
        <v>0</v>
      </c>
      <c r="W70" s="52">
        <f t="shared" si="24"/>
        <v>0</v>
      </c>
      <c r="X70" s="48"/>
      <c r="Y70" s="58">
        <f t="shared" si="25"/>
        <v>0</v>
      </c>
      <c r="Z70" s="49" t="str">
        <f t="shared" ref="Z70:Z101" si="26">IF(B70="","",IF(COUNTIFS($C$6:$C$203,"&lt;"&amp;D70,$D$6:$D$203,"&gt;"&amp;C70,$I$6:$I$203,"&lt;&gt;Cancelada",$I$6:$I$203,"&lt;&gt;Consulta",$AB$6:$AB$203,$AB70)&gt;1,"CONFLITO","OK"))</f>
        <v/>
      </c>
      <c r="AA70" s="64"/>
      <c r="AB70" s="94"/>
      <c r="AE70" s="101" t="str">
        <f t="shared" si="9"/>
        <v/>
      </c>
    </row>
    <row r="71" spans="1:31" ht="15.75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8">
        <f t="shared" si="25"/>
        <v>0</v>
      </c>
      <c r="Z71" s="49" t="str">
        <f t="shared" si="26"/>
        <v/>
      </c>
      <c r="AA71" s="64"/>
      <c r="AB71" s="94"/>
      <c r="AE71" s="101" t="str">
        <f t="shared" ref="AE71:AE134" si="27">IF((AC71+AD71)=0,"",AC71+AD71)</f>
        <v/>
      </c>
    </row>
    <row r="72" spans="1:31" ht="15.75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8">
        <f t="shared" si="25"/>
        <v>0</v>
      </c>
      <c r="Z72" s="49" t="str">
        <f t="shared" si="26"/>
        <v/>
      </c>
      <c r="AA72" s="64"/>
      <c r="AB72" s="94"/>
      <c r="AE72" s="101" t="str">
        <f t="shared" si="27"/>
        <v/>
      </c>
    </row>
    <row r="73" spans="1:31" ht="15.75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8">
        <f t="shared" si="25"/>
        <v>0</v>
      </c>
      <c r="Z73" s="49" t="str">
        <f t="shared" si="26"/>
        <v/>
      </c>
      <c r="AA73" s="64"/>
      <c r="AB73" s="94"/>
      <c r="AE73" s="101" t="str">
        <f t="shared" si="27"/>
        <v/>
      </c>
    </row>
    <row r="74" spans="1:31" ht="15.75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8">
        <f t="shared" si="25"/>
        <v>0</v>
      </c>
      <c r="Z74" s="49" t="str">
        <f t="shared" si="26"/>
        <v/>
      </c>
      <c r="AA74" s="64"/>
      <c r="AB74" s="94"/>
      <c r="AE74" s="101" t="str">
        <f t="shared" si="27"/>
        <v/>
      </c>
    </row>
    <row r="75" spans="1:31" ht="15.75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8">
        <f t="shared" si="25"/>
        <v>0</v>
      </c>
      <c r="Z75" s="49" t="str">
        <f t="shared" si="26"/>
        <v/>
      </c>
      <c r="AA75" s="64"/>
      <c r="AB75" s="94"/>
      <c r="AE75" s="101" t="str">
        <f t="shared" si="27"/>
        <v/>
      </c>
    </row>
    <row r="76" spans="1:31" ht="15.75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8">
        <f t="shared" si="25"/>
        <v>0</v>
      </c>
      <c r="Z76" s="49" t="str">
        <f t="shared" si="26"/>
        <v/>
      </c>
      <c r="AA76" s="64"/>
      <c r="AB76" s="94"/>
      <c r="AE76" s="101" t="str">
        <f t="shared" si="27"/>
        <v/>
      </c>
    </row>
    <row r="77" spans="1:31" ht="15.75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8">
        <f t="shared" si="25"/>
        <v>0</v>
      </c>
      <c r="Z77" s="49" t="str">
        <f t="shared" si="26"/>
        <v/>
      </c>
      <c r="AA77" s="64"/>
      <c r="AB77" s="94"/>
      <c r="AE77" s="101" t="str">
        <f t="shared" si="27"/>
        <v/>
      </c>
    </row>
    <row r="78" spans="1:31" ht="15.75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8">
        <f t="shared" si="25"/>
        <v>0</v>
      </c>
      <c r="Z78" s="49" t="str">
        <f t="shared" si="26"/>
        <v/>
      </c>
      <c r="AA78" s="64"/>
      <c r="AB78" s="94"/>
      <c r="AE78" s="101" t="str">
        <f t="shared" si="27"/>
        <v/>
      </c>
    </row>
    <row r="79" spans="1:31" ht="15.75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8">
        <f t="shared" si="25"/>
        <v>0</v>
      </c>
      <c r="Z79" s="49" t="str">
        <f t="shared" si="26"/>
        <v/>
      </c>
      <c r="AA79" s="64"/>
      <c r="AB79" s="94"/>
      <c r="AE79" s="101" t="str">
        <f t="shared" si="27"/>
        <v/>
      </c>
    </row>
    <row r="80" spans="1:31" ht="15.75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8">
        <f t="shared" si="25"/>
        <v>0</v>
      </c>
      <c r="Z80" s="49" t="str">
        <f t="shared" si="26"/>
        <v/>
      </c>
      <c r="AA80" s="64"/>
      <c r="AB80" s="94"/>
      <c r="AE80" s="101" t="str">
        <f t="shared" si="27"/>
        <v/>
      </c>
    </row>
    <row r="81" spans="1:31" ht="15.75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8">
        <f t="shared" si="25"/>
        <v>0</v>
      </c>
      <c r="Z81" s="49" t="str">
        <f t="shared" si="26"/>
        <v/>
      </c>
      <c r="AA81" s="64"/>
      <c r="AB81" s="94"/>
      <c r="AE81" s="101" t="str">
        <f t="shared" si="27"/>
        <v/>
      </c>
    </row>
    <row r="82" spans="1:31" ht="15.75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8">
        <f t="shared" si="25"/>
        <v>0</v>
      </c>
      <c r="Z82" s="49" t="str">
        <f t="shared" si="26"/>
        <v/>
      </c>
      <c r="AA82" s="64"/>
      <c r="AB82" s="94"/>
      <c r="AE82" s="101" t="str">
        <f t="shared" si="27"/>
        <v/>
      </c>
    </row>
    <row r="83" spans="1:31" ht="15.75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8">
        <f t="shared" si="25"/>
        <v>0</v>
      </c>
      <c r="Z83" s="49" t="str">
        <f t="shared" si="26"/>
        <v/>
      </c>
      <c r="AA83" s="64"/>
      <c r="AB83" s="94"/>
      <c r="AE83" s="101" t="str">
        <f t="shared" si="27"/>
        <v/>
      </c>
    </row>
    <row r="84" spans="1:31" ht="15.75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8">
        <f t="shared" si="25"/>
        <v>0</v>
      </c>
      <c r="Z84" s="49" t="str">
        <f t="shared" si="26"/>
        <v/>
      </c>
      <c r="AA84" s="64"/>
      <c r="AB84" s="94"/>
      <c r="AE84" s="101" t="str">
        <f t="shared" si="27"/>
        <v/>
      </c>
    </row>
    <row r="85" spans="1:31" ht="15.75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8">
        <f t="shared" si="25"/>
        <v>0</v>
      </c>
      <c r="Z85" s="49" t="str">
        <f t="shared" si="26"/>
        <v/>
      </c>
      <c r="AA85" s="64"/>
      <c r="AB85" s="94"/>
      <c r="AE85" s="101" t="str">
        <f t="shared" si="27"/>
        <v/>
      </c>
    </row>
    <row r="86" spans="1:31" ht="15.75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8">
        <f t="shared" si="25"/>
        <v>0</v>
      </c>
      <c r="Z86" s="49" t="str">
        <f t="shared" si="26"/>
        <v/>
      </c>
      <c r="AA86" s="64"/>
      <c r="AB86" s="94"/>
      <c r="AE86" s="101" t="str">
        <f t="shared" si="27"/>
        <v/>
      </c>
    </row>
    <row r="87" spans="1:31" ht="15.75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8">
        <f t="shared" si="25"/>
        <v>0</v>
      </c>
      <c r="Z87" s="49" t="str">
        <f t="shared" si="26"/>
        <v/>
      </c>
      <c r="AA87" s="64"/>
      <c r="AB87" s="94"/>
      <c r="AE87" s="101" t="str">
        <f t="shared" si="27"/>
        <v/>
      </c>
    </row>
    <row r="88" spans="1:31" ht="15.75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8">
        <f t="shared" si="25"/>
        <v>0</v>
      </c>
      <c r="Z88" s="49" t="str">
        <f t="shared" si="26"/>
        <v/>
      </c>
      <c r="AA88" s="64"/>
      <c r="AB88" s="94"/>
      <c r="AE88" s="101" t="str">
        <f t="shared" si="27"/>
        <v/>
      </c>
    </row>
    <row r="89" spans="1:31" ht="15.75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8">
        <f t="shared" si="25"/>
        <v>0</v>
      </c>
      <c r="Z89" s="49" t="str">
        <f t="shared" si="26"/>
        <v/>
      </c>
      <c r="AA89" s="64"/>
      <c r="AB89" s="94"/>
      <c r="AE89" s="101" t="str">
        <f t="shared" si="27"/>
        <v/>
      </c>
    </row>
    <row r="90" spans="1:31" ht="15.75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8">
        <f t="shared" si="25"/>
        <v>0</v>
      </c>
      <c r="Z90" s="49" t="str">
        <f t="shared" si="26"/>
        <v/>
      </c>
      <c r="AA90" s="64"/>
      <c r="AB90" s="94"/>
      <c r="AE90" s="101" t="str">
        <f t="shared" si="27"/>
        <v/>
      </c>
    </row>
    <row r="91" spans="1:31" ht="15.75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8">
        <f t="shared" si="25"/>
        <v>0</v>
      </c>
      <c r="Z91" s="49" t="str">
        <f t="shared" si="26"/>
        <v/>
      </c>
      <c r="AA91" s="64"/>
      <c r="AB91" s="94"/>
      <c r="AE91" s="101" t="str">
        <f t="shared" si="27"/>
        <v/>
      </c>
    </row>
    <row r="92" spans="1:31" ht="15.75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8">
        <f t="shared" si="25"/>
        <v>0</v>
      </c>
      <c r="Z92" s="49" t="str">
        <f t="shared" si="26"/>
        <v/>
      </c>
      <c r="AA92" s="64"/>
      <c r="AB92" s="94"/>
      <c r="AE92" s="101" t="str">
        <f t="shared" si="27"/>
        <v/>
      </c>
    </row>
    <row r="93" spans="1:31" ht="15.75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8">
        <f t="shared" si="25"/>
        <v>0</v>
      </c>
      <c r="Z93" s="49" t="str">
        <f t="shared" si="26"/>
        <v/>
      </c>
      <c r="AA93" s="64"/>
      <c r="AB93" s="94"/>
      <c r="AE93" s="101" t="str">
        <f t="shared" si="27"/>
        <v/>
      </c>
    </row>
    <row r="94" spans="1:31" ht="15.75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8">
        <f t="shared" si="25"/>
        <v>0</v>
      </c>
      <c r="Z94" s="49" t="str">
        <f t="shared" si="26"/>
        <v/>
      </c>
      <c r="AA94" s="64"/>
      <c r="AB94" s="94"/>
      <c r="AE94" s="101" t="str">
        <f t="shared" si="27"/>
        <v/>
      </c>
    </row>
    <row r="95" spans="1:31" ht="15.75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8">
        <f t="shared" si="25"/>
        <v>0</v>
      </c>
      <c r="Z95" s="49" t="str">
        <f t="shared" si="26"/>
        <v/>
      </c>
      <c r="AA95" s="64"/>
      <c r="AB95" s="94"/>
      <c r="AE95" s="101" t="str">
        <f t="shared" si="27"/>
        <v/>
      </c>
    </row>
    <row r="96" spans="1:31" ht="15.75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8">
        <f t="shared" si="25"/>
        <v>0</v>
      </c>
      <c r="Z96" s="49" t="str">
        <f t="shared" si="26"/>
        <v/>
      </c>
      <c r="AA96" s="64"/>
      <c r="AB96" s="94"/>
      <c r="AE96" s="101" t="str">
        <f t="shared" si="27"/>
        <v/>
      </c>
    </row>
    <row r="97" spans="1:31" ht="15.75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8">
        <f t="shared" si="25"/>
        <v>0</v>
      </c>
      <c r="Z97" s="49" t="str">
        <f t="shared" si="26"/>
        <v/>
      </c>
      <c r="AA97" s="64"/>
      <c r="AB97" s="94"/>
      <c r="AE97" s="101" t="str">
        <f t="shared" si="27"/>
        <v/>
      </c>
    </row>
    <row r="98" spans="1:31" ht="15.75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8">
        <f t="shared" si="25"/>
        <v>0</v>
      </c>
      <c r="Z98" s="49" t="str">
        <f t="shared" si="26"/>
        <v/>
      </c>
      <c r="AA98" s="64"/>
      <c r="AB98" s="94"/>
      <c r="AE98" s="101" t="str">
        <f t="shared" si="27"/>
        <v/>
      </c>
    </row>
    <row r="99" spans="1:31" ht="15.75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8">
        <f t="shared" si="25"/>
        <v>0</v>
      </c>
      <c r="Z99" s="49" t="str">
        <f t="shared" si="26"/>
        <v/>
      </c>
      <c r="AA99" s="64"/>
      <c r="AB99" s="94"/>
      <c r="AE99" s="101" t="str">
        <f t="shared" si="27"/>
        <v/>
      </c>
    </row>
    <row r="100" spans="1:31" ht="15.75">
      <c r="A100" s="62" t="str">
        <f t="shared" ref="A100:A131" si="28">IF(B100="","","LOC-"&amp;TEXT(ROW()-5,"000"))</f>
        <v/>
      </c>
      <c r="B100" s="44"/>
      <c r="C100" s="46"/>
      <c r="D100" s="46"/>
      <c r="E100" s="50">
        <f t="shared" ref="E100:E131" si="29">IF(OR(B100="",C100="",D100=""),0,MAX(0,D100-C100))</f>
        <v>0</v>
      </c>
      <c r="F100" s="48"/>
      <c r="G100" s="51">
        <f t="shared" ref="G100:G131" si="30">IF(OR(B100="",E100=0,F100=""),0,E100*F100)</f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ref="T100:T131" si="31">IF(OR(B100="",E100=0),0,S100/E100)</f>
        <v>0</v>
      </c>
      <c r="U100" s="51">
        <f t="shared" ref="U100:U131" si="32">IF(B100="",0,G100-S100)</f>
        <v>0</v>
      </c>
      <c r="V100" s="51">
        <f t="shared" ref="V100:V131" si="33">IF(OR(B100="",E100=0),0,U100/E100)</f>
        <v>0</v>
      </c>
      <c r="W100" s="52">
        <f t="shared" ref="W100:W131" si="34">IF(OR(B100="",G100=0),0,U100/G100)</f>
        <v>0</v>
      </c>
      <c r="X100" s="48"/>
      <c r="Y100" s="58">
        <f t="shared" si="25"/>
        <v>0</v>
      </c>
      <c r="Z100" s="49" t="str">
        <f t="shared" si="26"/>
        <v/>
      </c>
      <c r="AA100" s="64"/>
      <c r="AB100" s="94"/>
      <c r="AE100" s="101" t="str">
        <f t="shared" si="27"/>
        <v/>
      </c>
    </row>
    <row r="101" spans="1:31" ht="15.75">
      <c r="A101" s="62" t="str">
        <f t="shared" si="28"/>
        <v/>
      </c>
      <c r="B101" s="44"/>
      <c r="C101" s="46"/>
      <c r="D101" s="46"/>
      <c r="E101" s="50">
        <f t="shared" si="29"/>
        <v>0</v>
      </c>
      <c r="F101" s="48"/>
      <c r="G101" s="51">
        <f t="shared" si="30"/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si="31"/>
        <v>0</v>
      </c>
      <c r="U101" s="51">
        <f t="shared" si="32"/>
        <v>0</v>
      </c>
      <c r="V101" s="51">
        <f t="shared" si="33"/>
        <v>0</v>
      </c>
      <c r="W101" s="52">
        <f t="shared" si="34"/>
        <v>0</v>
      </c>
      <c r="X101" s="48"/>
      <c r="Y101" s="58">
        <f t="shared" si="25"/>
        <v>0</v>
      </c>
      <c r="Z101" s="49" t="str">
        <f t="shared" si="26"/>
        <v/>
      </c>
      <c r="AA101" s="64"/>
      <c r="AB101" s="94"/>
      <c r="AE101" s="101" t="str">
        <f t="shared" si="27"/>
        <v/>
      </c>
    </row>
    <row r="102" spans="1:31" ht="15.75">
      <c r="A102" s="62" t="str">
        <f t="shared" si="28"/>
        <v/>
      </c>
      <c r="B102" s="44"/>
      <c r="C102" s="46"/>
      <c r="D102" s="46"/>
      <c r="E102" s="50">
        <f t="shared" si="29"/>
        <v>0</v>
      </c>
      <c r="F102" s="48"/>
      <c r="G102" s="51">
        <f t="shared" si="30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31"/>
        <v>0</v>
      </c>
      <c r="U102" s="51">
        <f t="shared" si="32"/>
        <v>0</v>
      </c>
      <c r="V102" s="51">
        <f t="shared" si="33"/>
        <v>0</v>
      </c>
      <c r="W102" s="52">
        <f t="shared" si="34"/>
        <v>0</v>
      </c>
      <c r="X102" s="48"/>
      <c r="Y102" s="58">
        <f t="shared" si="25"/>
        <v>0</v>
      </c>
      <c r="Z102" s="49" t="str">
        <f t="shared" ref="Z102:Z133" si="35">IF(B102="","",IF(COUNTIFS($C$6:$C$203,"&lt;"&amp;D102,$D$6:$D$203,"&gt;"&amp;C102,$I$6:$I$203,"&lt;&gt;Cancelada",$I$6:$I$203,"&lt;&gt;Consulta",$AB$6:$AB$203,$AB102)&gt;1,"CONFLITO","OK"))</f>
        <v/>
      </c>
      <c r="AA102" s="64"/>
      <c r="AB102" s="94"/>
      <c r="AE102" s="101" t="str">
        <f t="shared" si="27"/>
        <v/>
      </c>
    </row>
    <row r="103" spans="1:31" ht="15.75">
      <c r="A103" s="62" t="str">
        <f t="shared" si="28"/>
        <v/>
      </c>
      <c r="B103" s="44"/>
      <c r="C103" s="46"/>
      <c r="D103" s="46"/>
      <c r="E103" s="50">
        <f t="shared" si="29"/>
        <v>0</v>
      </c>
      <c r="F103" s="48"/>
      <c r="G103" s="51">
        <f t="shared" si="30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31"/>
        <v>0</v>
      </c>
      <c r="U103" s="51">
        <f t="shared" si="32"/>
        <v>0</v>
      </c>
      <c r="V103" s="51">
        <f t="shared" si="33"/>
        <v>0</v>
      </c>
      <c r="W103" s="52">
        <f t="shared" si="34"/>
        <v>0</v>
      </c>
      <c r="X103" s="48"/>
      <c r="Y103" s="58">
        <f t="shared" si="25"/>
        <v>0</v>
      </c>
      <c r="Z103" s="49" t="str">
        <f t="shared" si="35"/>
        <v/>
      </c>
      <c r="AA103" s="64"/>
      <c r="AB103" s="94"/>
      <c r="AE103" s="101" t="str">
        <f t="shared" si="27"/>
        <v/>
      </c>
    </row>
    <row r="104" spans="1:31" ht="15.75">
      <c r="A104" s="62" t="str">
        <f t="shared" si="28"/>
        <v/>
      </c>
      <c r="B104" s="44"/>
      <c r="C104" s="46"/>
      <c r="D104" s="46"/>
      <c r="E104" s="50">
        <f t="shared" si="29"/>
        <v>0</v>
      </c>
      <c r="F104" s="48"/>
      <c r="G104" s="51">
        <f t="shared" si="30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31"/>
        <v>0</v>
      </c>
      <c r="U104" s="51">
        <f t="shared" si="32"/>
        <v>0</v>
      </c>
      <c r="V104" s="51">
        <f t="shared" si="33"/>
        <v>0</v>
      </c>
      <c r="W104" s="52">
        <f t="shared" si="34"/>
        <v>0</v>
      </c>
      <c r="X104" s="48"/>
      <c r="Y104" s="58">
        <f t="shared" si="25"/>
        <v>0</v>
      </c>
      <c r="Z104" s="49" t="str">
        <f t="shared" si="35"/>
        <v/>
      </c>
      <c r="AA104" s="64"/>
      <c r="AB104" s="94"/>
      <c r="AE104" s="101" t="str">
        <f t="shared" si="27"/>
        <v/>
      </c>
    </row>
    <row r="105" spans="1:31" ht="15.75">
      <c r="A105" s="62" t="str">
        <f t="shared" si="28"/>
        <v/>
      </c>
      <c r="B105" s="44"/>
      <c r="C105" s="46"/>
      <c r="D105" s="46"/>
      <c r="E105" s="50">
        <f t="shared" si="29"/>
        <v>0</v>
      </c>
      <c r="F105" s="48"/>
      <c r="G105" s="51">
        <f t="shared" si="30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31"/>
        <v>0</v>
      </c>
      <c r="U105" s="51">
        <f t="shared" si="32"/>
        <v>0</v>
      </c>
      <c r="V105" s="51">
        <f t="shared" si="33"/>
        <v>0</v>
      </c>
      <c r="W105" s="52">
        <f t="shared" si="34"/>
        <v>0</v>
      </c>
      <c r="X105" s="48"/>
      <c r="Y105" s="58">
        <f t="shared" si="25"/>
        <v>0</v>
      </c>
      <c r="Z105" s="49" t="str">
        <f t="shared" si="35"/>
        <v/>
      </c>
      <c r="AA105" s="64"/>
      <c r="AB105" s="94"/>
      <c r="AE105" s="101" t="str">
        <f t="shared" si="27"/>
        <v/>
      </c>
    </row>
    <row r="106" spans="1:31" ht="15.75">
      <c r="A106" s="62" t="str">
        <f t="shared" si="28"/>
        <v/>
      </c>
      <c r="B106" s="44"/>
      <c r="C106" s="46"/>
      <c r="D106" s="46"/>
      <c r="E106" s="50">
        <f t="shared" si="29"/>
        <v>0</v>
      </c>
      <c r="F106" s="48"/>
      <c r="G106" s="51">
        <f t="shared" si="30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31"/>
        <v>0</v>
      </c>
      <c r="U106" s="51">
        <f t="shared" si="32"/>
        <v>0</v>
      </c>
      <c r="V106" s="51">
        <f t="shared" si="33"/>
        <v>0</v>
      </c>
      <c r="W106" s="52">
        <f t="shared" si="34"/>
        <v>0</v>
      </c>
      <c r="X106" s="48"/>
      <c r="Y106" s="58">
        <f t="shared" si="25"/>
        <v>0</v>
      </c>
      <c r="Z106" s="49" t="str">
        <f t="shared" si="35"/>
        <v/>
      </c>
      <c r="AA106" s="64"/>
      <c r="AB106" s="94"/>
      <c r="AE106" s="101" t="str">
        <f t="shared" si="27"/>
        <v/>
      </c>
    </row>
    <row r="107" spans="1:31" ht="15.75">
      <c r="A107" s="62" t="str">
        <f t="shared" si="28"/>
        <v/>
      </c>
      <c r="B107" s="44"/>
      <c r="C107" s="46"/>
      <c r="D107" s="46"/>
      <c r="E107" s="50">
        <f t="shared" si="29"/>
        <v>0</v>
      </c>
      <c r="F107" s="48"/>
      <c r="G107" s="51">
        <f t="shared" si="30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31"/>
        <v>0</v>
      </c>
      <c r="U107" s="51">
        <f t="shared" si="32"/>
        <v>0</v>
      </c>
      <c r="V107" s="51">
        <f t="shared" si="33"/>
        <v>0</v>
      </c>
      <c r="W107" s="52">
        <f t="shared" si="34"/>
        <v>0</v>
      </c>
      <c r="X107" s="48"/>
      <c r="Y107" s="58">
        <f t="shared" si="25"/>
        <v>0</v>
      </c>
      <c r="Z107" s="49" t="str">
        <f t="shared" si="35"/>
        <v/>
      </c>
      <c r="AA107" s="64"/>
      <c r="AB107" s="94"/>
      <c r="AE107" s="101" t="str">
        <f t="shared" si="27"/>
        <v/>
      </c>
    </row>
    <row r="108" spans="1:31" ht="15.75">
      <c r="A108" s="62" t="str">
        <f t="shared" si="28"/>
        <v/>
      </c>
      <c r="B108" s="44"/>
      <c r="C108" s="46"/>
      <c r="D108" s="46"/>
      <c r="E108" s="50">
        <f t="shared" si="29"/>
        <v>0</v>
      </c>
      <c r="F108" s="48"/>
      <c r="G108" s="51">
        <f t="shared" si="30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31"/>
        <v>0</v>
      </c>
      <c r="U108" s="51">
        <f t="shared" si="32"/>
        <v>0</v>
      </c>
      <c r="V108" s="51">
        <f t="shared" si="33"/>
        <v>0</v>
      </c>
      <c r="W108" s="52">
        <f t="shared" si="34"/>
        <v>0</v>
      </c>
      <c r="X108" s="48"/>
      <c r="Y108" s="58">
        <f t="shared" si="25"/>
        <v>0</v>
      </c>
      <c r="Z108" s="49" t="str">
        <f t="shared" si="35"/>
        <v/>
      </c>
      <c r="AA108" s="64"/>
      <c r="AB108" s="94"/>
      <c r="AE108" s="101" t="str">
        <f t="shared" si="27"/>
        <v/>
      </c>
    </row>
    <row r="109" spans="1:31" ht="15.75">
      <c r="A109" s="62" t="str">
        <f t="shared" si="28"/>
        <v/>
      </c>
      <c r="B109" s="44"/>
      <c r="C109" s="46"/>
      <c r="D109" s="46"/>
      <c r="E109" s="50">
        <f t="shared" si="29"/>
        <v>0</v>
      </c>
      <c r="F109" s="48"/>
      <c r="G109" s="51">
        <f t="shared" si="30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31"/>
        <v>0</v>
      </c>
      <c r="U109" s="51">
        <f t="shared" si="32"/>
        <v>0</v>
      </c>
      <c r="V109" s="51">
        <f t="shared" si="33"/>
        <v>0</v>
      </c>
      <c r="W109" s="52">
        <f t="shared" si="34"/>
        <v>0</v>
      </c>
      <c r="X109" s="48"/>
      <c r="Y109" s="58">
        <f t="shared" si="25"/>
        <v>0</v>
      </c>
      <c r="Z109" s="49" t="str">
        <f t="shared" si="35"/>
        <v/>
      </c>
      <c r="AA109" s="64"/>
      <c r="AB109" s="94"/>
      <c r="AE109" s="101" t="str">
        <f t="shared" si="27"/>
        <v/>
      </c>
    </row>
    <row r="110" spans="1:31" ht="15.75">
      <c r="A110" s="62" t="str">
        <f t="shared" si="28"/>
        <v/>
      </c>
      <c r="B110" s="44"/>
      <c r="C110" s="46"/>
      <c r="D110" s="46"/>
      <c r="E110" s="50">
        <f t="shared" si="29"/>
        <v>0</v>
      </c>
      <c r="F110" s="48"/>
      <c r="G110" s="51">
        <f t="shared" si="30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31"/>
        <v>0</v>
      </c>
      <c r="U110" s="51">
        <f t="shared" si="32"/>
        <v>0</v>
      </c>
      <c r="V110" s="51">
        <f t="shared" si="33"/>
        <v>0</v>
      </c>
      <c r="W110" s="52">
        <f t="shared" si="34"/>
        <v>0</v>
      </c>
      <c r="X110" s="48"/>
      <c r="Y110" s="58">
        <f t="shared" si="25"/>
        <v>0</v>
      </c>
      <c r="Z110" s="49" t="str">
        <f t="shared" si="35"/>
        <v/>
      </c>
      <c r="AA110" s="64"/>
      <c r="AB110" s="94"/>
      <c r="AE110" s="101" t="str">
        <f t="shared" si="27"/>
        <v/>
      </c>
    </row>
    <row r="111" spans="1:31" ht="15.75">
      <c r="A111" s="62" t="str">
        <f t="shared" si="28"/>
        <v/>
      </c>
      <c r="B111" s="44"/>
      <c r="C111" s="46"/>
      <c r="D111" s="46"/>
      <c r="E111" s="50">
        <f t="shared" si="29"/>
        <v>0</v>
      </c>
      <c r="F111" s="48"/>
      <c r="G111" s="51">
        <f t="shared" si="30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31"/>
        <v>0</v>
      </c>
      <c r="U111" s="51">
        <f t="shared" si="32"/>
        <v>0</v>
      </c>
      <c r="V111" s="51">
        <f t="shared" si="33"/>
        <v>0</v>
      </c>
      <c r="W111" s="52">
        <f t="shared" si="34"/>
        <v>0</v>
      </c>
      <c r="X111" s="48"/>
      <c r="Y111" s="58">
        <f t="shared" si="25"/>
        <v>0</v>
      </c>
      <c r="Z111" s="49" t="str">
        <f t="shared" si="35"/>
        <v/>
      </c>
      <c r="AA111" s="64"/>
      <c r="AB111" s="94"/>
      <c r="AE111" s="101" t="str">
        <f t="shared" si="27"/>
        <v/>
      </c>
    </row>
    <row r="112" spans="1:31" ht="15.75">
      <c r="A112" s="62" t="str">
        <f t="shared" si="28"/>
        <v/>
      </c>
      <c r="B112" s="44"/>
      <c r="C112" s="46"/>
      <c r="D112" s="46"/>
      <c r="E112" s="50">
        <f t="shared" si="29"/>
        <v>0</v>
      </c>
      <c r="F112" s="48"/>
      <c r="G112" s="51">
        <f t="shared" si="30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31"/>
        <v>0</v>
      </c>
      <c r="U112" s="51">
        <f t="shared" si="32"/>
        <v>0</v>
      </c>
      <c r="V112" s="51">
        <f t="shared" si="33"/>
        <v>0</v>
      </c>
      <c r="W112" s="52">
        <f t="shared" si="34"/>
        <v>0</v>
      </c>
      <c r="X112" s="48"/>
      <c r="Y112" s="58">
        <f t="shared" si="25"/>
        <v>0</v>
      </c>
      <c r="Z112" s="49" t="str">
        <f t="shared" si="35"/>
        <v/>
      </c>
      <c r="AA112" s="64"/>
      <c r="AB112" s="94"/>
      <c r="AE112" s="101" t="str">
        <f t="shared" si="27"/>
        <v/>
      </c>
    </row>
    <row r="113" spans="1:31" ht="15.75">
      <c r="A113" s="62" t="str">
        <f t="shared" si="28"/>
        <v/>
      </c>
      <c r="B113" s="44"/>
      <c r="C113" s="46"/>
      <c r="D113" s="46"/>
      <c r="E113" s="50">
        <f t="shared" si="29"/>
        <v>0</v>
      </c>
      <c r="F113" s="48"/>
      <c r="G113" s="51">
        <f t="shared" si="30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31"/>
        <v>0</v>
      </c>
      <c r="U113" s="51">
        <f t="shared" si="32"/>
        <v>0</v>
      </c>
      <c r="V113" s="51">
        <f t="shared" si="33"/>
        <v>0</v>
      </c>
      <c r="W113" s="52">
        <f t="shared" si="34"/>
        <v>0</v>
      </c>
      <c r="X113" s="48"/>
      <c r="Y113" s="58">
        <f t="shared" si="25"/>
        <v>0</v>
      </c>
      <c r="Z113" s="49" t="str">
        <f t="shared" si="35"/>
        <v/>
      </c>
      <c r="AA113" s="64"/>
      <c r="AB113" s="94"/>
      <c r="AE113" s="101" t="str">
        <f t="shared" si="27"/>
        <v/>
      </c>
    </row>
    <row r="114" spans="1:31" ht="15.75">
      <c r="A114" s="62" t="str">
        <f t="shared" si="28"/>
        <v/>
      </c>
      <c r="B114" s="44"/>
      <c r="C114" s="46"/>
      <c r="D114" s="46"/>
      <c r="E114" s="50">
        <f t="shared" si="29"/>
        <v>0</v>
      </c>
      <c r="F114" s="48"/>
      <c r="G114" s="51">
        <f t="shared" si="30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31"/>
        <v>0</v>
      </c>
      <c r="U114" s="51">
        <f t="shared" si="32"/>
        <v>0</v>
      </c>
      <c r="V114" s="51">
        <f t="shared" si="33"/>
        <v>0</v>
      </c>
      <c r="W114" s="52">
        <f t="shared" si="34"/>
        <v>0</v>
      </c>
      <c r="X114" s="48"/>
      <c r="Y114" s="58">
        <f t="shared" si="25"/>
        <v>0</v>
      </c>
      <c r="Z114" s="49" t="str">
        <f t="shared" si="35"/>
        <v/>
      </c>
      <c r="AA114" s="64"/>
      <c r="AB114" s="94"/>
      <c r="AE114" s="101" t="str">
        <f t="shared" si="27"/>
        <v/>
      </c>
    </row>
    <row r="115" spans="1:31" ht="15.75">
      <c r="A115" s="62" t="str">
        <f t="shared" si="28"/>
        <v/>
      </c>
      <c r="B115" s="44"/>
      <c r="C115" s="46"/>
      <c r="D115" s="46"/>
      <c r="E115" s="50">
        <f t="shared" si="29"/>
        <v>0</v>
      </c>
      <c r="F115" s="48"/>
      <c r="G115" s="51">
        <f t="shared" si="30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31"/>
        <v>0</v>
      </c>
      <c r="U115" s="51">
        <f t="shared" si="32"/>
        <v>0</v>
      </c>
      <c r="V115" s="51">
        <f t="shared" si="33"/>
        <v>0</v>
      </c>
      <c r="W115" s="52">
        <f t="shared" si="34"/>
        <v>0</v>
      </c>
      <c r="X115" s="48"/>
      <c r="Y115" s="58">
        <f t="shared" si="25"/>
        <v>0</v>
      </c>
      <c r="Z115" s="49" t="str">
        <f t="shared" si="35"/>
        <v/>
      </c>
      <c r="AA115" s="64"/>
      <c r="AB115" s="94"/>
      <c r="AE115" s="101" t="str">
        <f t="shared" si="27"/>
        <v/>
      </c>
    </row>
    <row r="116" spans="1:31" ht="15.75">
      <c r="A116" s="62" t="str">
        <f t="shared" si="28"/>
        <v/>
      </c>
      <c r="B116" s="44"/>
      <c r="C116" s="46"/>
      <c r="D116" s="46"/>
      <c r="E116" s="50">
        <f t="shared" si="29"/>
        <v>0</v>
      </c>
      <c r="F116" s="48"/>
      <c r="G116" s="51">
        <f t="shared" si="30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31"/>
        <v>0</v>
      </c>
      <c r="U116" s="51">
        <f t="shared" si="32"/>
        <v>0</v>
      </c>
      <c r="V116" s="51">
        <f t="shared" si="33"/>
        <v>0</v>
      </c>
      <c r="W116" s="52">
        <f t="shared" si="34"/>
        <v>0</v>
      </c>
      <c r="X116" s="48"/>
      <c r="Y116" s="58">
        <f t="shared" si="25"/>
        <v>0</v>
      </c>
      <c r="Z116" s="49" t="str">
        <f t="shared" si="35"/>
        <v/>
      </c>
      <c r="AA116" s="64"/>
      <c r="AB116" s="94"/>
      <c r="AE116" s="101" t="str">
        <f t="shared" si="27"/>
        <v/>
      </c>
    </row>
    <row r="117" spans="1:31" ht="15.75">
      <c r="A117" s="62" t="str">
        <f t="shared" si="28"/>
        <v/>
      </c>
      <c r="B117" s="44"/>
      <c r="C117" s="46"/>
      <c r="D117" s="46"/>
      <c r="E117" s="50">
        <f t="shared" si="29"/>
        <v>0</v>
      </c>
      <c r="F117" s="48"/>
      <c r="G117" s="51">
        <f t="shared" si="30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31"/>
        <v>0</v>
      </c>
      <c r="U117" s="51">
        <f t="shared" si="32"/>
        <v>0</v>
      </c>
      <c r="V117" s="51">
        <f t="shared" si="33"/>
        <v>0</v>
      </c>
      <c r="W117" s="52">
        <f t="shared" si="34"/>
        <v>0</v>
      </c>
      <c r="X117" s="48"/>
      <c r="Y117" s="58">
        <f t="shared" si="25"/>
        <v>0</v>
      </c>
      <c r="Z117" s="49" t="str">
        <f t="shared" si="35"/>
        <v/>
      </c>
      <c r="AA117" s="64"/>
      <c r="AB117" s="94"/>
      <c r="AE117" s="101" t="str">
        <f t="shared" si="27"/>
        <v/>
      </c>
    </row>
    <row r="118" spans="1:31" ht="15.75">
      <c r="A118" s="62" t="str">
        <f t="shared" si="28"/>
        <v/>
      </c>
      <c r="B118" s="44"/>
      <c r="C118" s="46"/>
      <c r="D118" s="46"/>
      <c r="E118" s="50">
        <f t="shared" si="29"/>
        <v>0</v>
      </c>
      <c r="F118" s="48"/>
      <c r="G118" s="51">
        <f t="shared" si="30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31"/>
        <v>0</v>
      </c>
      <c r="U118" s="51">
        <f t="shared" si="32"/>
        <v>0</v>
      </c>
      <c r="V118" s="51">
        <f t="shared" si="33"/>
        <v>0</v>
      </c>
      <c r="W118" s="52">
        <f t="shared" si="34"/>
        <v>0</v>
      </c>
      <c r="X118" s="48"/>
      <c r="Y118" s="58">
        <f t="shared" si="25"/>
        <v>0</v>
      </c>
      <c r="Z118" s="49" t="str">
        <f t="shared" si="35"/>
        <v/>
      </c>
      <c r="AA118" s="64"/>
      <c r="AB118" s="94"/>
      <c r="AE118" s="101" t="str">
        <f t="shared" si="27"/>
        <v/>
      </c>
    </row>
    <row r="119" spans="1:31" ht="15.75">
      <c r="A119" s="62" t="str">
        <f t="shared" si="28"/>
        <v/>
      </c>
      <c r="B119" s="44"/>
      <c r="C119" s="46"/>
      <c r="D119" s="46"/>
      <c r="E119" s="50">
        <f t="shared" si="29"/>
        <v>0</v>
      </c>
      <c r="F119" s="48"/>
      <c r="G119" s="51">
        <f t="shared" si="30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31"/>
        <v>0</v>
      </c>
      <c r="U119" s="51">
        <f t="shared" si="32"/>
        <v>0</v>
      </c>
      <c r="V119" s="51">
        <f t="shared" si="33"/>
        <v>0</v>
      </c>
      <c r="W119" s="52">
        <f t="shared" si="34"/>
        <v>0</v>
      </c>
      <c r="X119" s="48"/>
      <c r="Y119" s="58">
        <f t="shared" si="25"/>
        <v>0</v>
      </c>
      <c r="Z119" s="49" t="str">
        <f t="shared" si="35"/>
        <v/>
      </c>
      <c r="AA119" s="64"/>
      <c r="AB119" s="94"/>
      <c r="AE119" s="101" t="str">
        <f t="shared" si="27"/>
        <v/>
      </c>
    </row>
    <row r="120" spans="1:31" ht="15.75">
      <c r="A120" s="62" t="str">
        <f t="shared" si="28"/>
        <v/>
      </c>
      <c r="B120" s="44"/>
      <c r="C120" s="46"/>
      <c r="D120" s="46"/>
      <c r="E120" s="50">
        <f t="shared" si="29"/>
        <v>0</v>
      </c>
      <c r="F120" s="48"/>
      <c r="G120" s="51">
        <f t="shared" si="30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31"/>
        <v>0</v>
      </c>
      <c r="U120" s="51">
        <f t="shared" si="32"/>
        <v>0</v>
      </c>
      <c r="V120" s="51">
        <f t="shared" si="33"/>
        <v>0</v>
      </c>
      <c r="W120" s="52">
        <f t="shared" si="34"/>
        <v>0</v>
      </c>
      <c r="X120" s="48"/>
      <c r="Y120" s="58">
        <f t="shared" si="25"/>
        <v>0</v>
      </c>
      <c r="Z120" s="49" t="str">
        <f t="shared" si="35"/>
        <v/>
      </c>
      <c r="AA120" s="64"/>
      <c r="AB120" s="94"/>
      <c r="AE120" s="101" t="str">
        <f t="shared" si="27"/>
        <v/>
      </c>
    </row>
    <row r="121" spans="1:31" ht="15.75">
      <c r="A121" s="62" t="str">
        <f t="shared" si="28"/>
        <v/>
      </c>
      <c r="B121" s="44"/>
      <c r="C121" s="46"/>
      <c r="D121" s="46"/>
      <c r="E121" s="50">
        <f t="shared" si="29"/>
        <v>0</v>
      </c>
      <c r="F121" s="48"/>
      <c r="G121" s="51">
        <f t="shared" si="30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31"/>
        <v>0</v>
      </c>
      <c r="U121" s="51">
        <f t="shared" si="32"/>
        <v>0</v>
      </c>
      <c r="V121" s="51">
        <f t="shared" si="33"/>
        <v>0</v>
      </c>
      <c r="W121" s="52">
        <f t="shared" si="34"/>
        <v>0</v>
      </c>
      <c r="X121" s="48"/>
      <c r="Y121" s="58">
        <f t="shared" si="25"/>
        <v>0</v>
      </c>
      <c r="Z121" s="49" t="str">
        <f t="shared" si="35"/>
        <v/>
      </c>
      <c r="AA121" s="64"/>
      <c r="AB121" s="94"/>
      <c r="AE121" s="101" t="str">
        <f t="shared" si="27"/>
        <v/>
      </c>
    </row>
    <row r="122" spans="1:31" ht="15.75">
      <c r="A122" s="62" t="str">
        <f t="shared" si="28"/>
        <v/>
      </c>
      <c r="B122" s="44"/>
      <c r="C122" s="46"/>
      <c r="D122" s="46"/>
      <c r="E122" s="50">
        <f t="shared" si="29"/>
        <v>0</v>
      </c>
      <c r="F122" s="48"/>
      <c r="G122" s="51">
        <f t="shared" si="30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31"/>
        <v>0</v>
      </c>
      <c r="U122" s="51">
        <f t="shared" si="32"/>
        <v>0</v>
      </c>
      <c r="V122" s="51">
        <f t="shared" si="33"/>
        <v>0</v>
      </c>
      <c r="W122" s="52">
        <f t="shared" si="34"/>
        <v>0</v>
      </c>
      <c r="X122" s="48"/>
      <c r="Y122" s="58">
        <f t="shared" si="25"/>
        <v>0</v>
      </c>
      <c r="Z122" s="49" t="str">
        <f t="shared" si="35"/>
        <v/>
      </c>
      <c r="AA122" s="64"/>
      <c r="AB122" s="94"/>
      <c r="AE122" s="101" t="str">
        <f t="shared" si="27"/>
        <v/>
      </c>
    </row>
    <row r="123" spans="1:31" ht="15.75">
      <c r="A123" s="62" t="str">
        <f t="shared" si="28"/>
        <v/>
      </c>
      <c r="B123" s="44"/>
      <c r="C123" s="46"/>
      <c r="D123" s="46"/>
      <c r="E123" s="50">
        <f t="shared" si="29"/>
        <v>0</v>
      </c>
      <c r="F123" s="48"/>
      <c r="G123" s="51">
        <f t="shared" si="30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31"/>
        <v>0</v>
      </c>
      <c r="U123" s="51">
        <f t="shared" si="32"/>
        <v>0</v>
      </c>
      <c r="V123" s="51">
        <f t="shared" si="33"/>
        <v>0</v>
      </c>
      <c r="W123" s="52">
        <f t="shared" si="34"/>
        <v>0</v>
      </c>
      <c r="X123" s="48"/>
      <c r="Y123" s="58">
        <f t="shared" si="25"/>
        <v>0</v>
      </c>
      <c r="Z123" s="49" t="str">
        <f t="shared" si="35"/>
        <v/>
      </c>
      <c r="AA123" s="64"/>
      <c r="AB123" s="94"/>
      <c r="AE123" s="101" t="str">
        <f t="shared" si="27"/>
        <v/>
      </c>
    </row>
    <row r="124" spans="1:31" ht="15.75">
      <c r="A124" s="62" t="str">
        <f t="shared" si="28"/>
        <v/>
      </c>
      <c r="B124" s="44"/>
      <c r="C124" s="46"/>
      <c r="D124" s="46"/>
      <c r="E124" s="50">
        <f t="shared" si="29"/>
        <v>0</v>
      </c>
      <c r="F124" s="48"/>
      <c r="G124" s="51">
        <f t="shared" si="30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31"/>
        <v>0</v>
      </c>
      <c r="U124" s="51">
        <f t="shared" si="32"/>
        <v>0</v>
      </c>
      <c r="V124" s="51">
        <f t="shared" si="33"/>
        <v>0</v>
      </c>
      <c r="W124" s="52">
        <f t="shared" si="34"/>
        <v>0</v>
      </c>
      <c r="X124" s="48"/>
      <c r="Y124" s="58">
        <f t="shared" si="25"/>
        <v>0</v>
      </c>
      <c r="Z124" s="49" t="str">
        <f t="shared" si="35"/>
        <v/>
      </c>
      <c r="AA124" s="64"/>
      <c r="AB124" s="94"/>
      <c r="AE124" s="101" t="str">
        <f t="shared" si="27"/>
        <v/>
      </c>
    </row>
    <row r="125" spans="1:31" ht="15.75">
      <c r="A125" s="62" t="str">
        <f t="shared" si="28"/>
        <v/>
      </c>
      <c r="B125" s="44"/>
      <c r="C125" s="46"/>
      <c r="D125" s="46"/>
      <c r="E125" s="50">
        <f t="shared" si="29"/>
        <v>0</v>
      </c>
      <c r="F125" s="48"/>
      <c r="G125" s="51">
        <f t="shared" si="30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31"/>
        <v>0</v>
      </c>
      <c r="U125" s="51">
        <f t="shared" si="32"/>
        <v>0</v>
      </c>
      <c r="V125" s="51">
        <f t="shared" si="33"/>
        <v>0</v>
      </c>
      <c r="W125" s="52">
        <f t="shared" si="34"/>
        <v>0</v>
      </c>
      <c r="X125" s="48"/>
      <c r="Y125" s="58">
        <f t="shared" si="25"/>
        <v>0</v>
      </c>
      <c r="Z125" s="49" t="str">
        <f t="shared" si="35"/>
        <v/>
      </c>
      <c r="AA125" s="64"/>
      <c r="AB125" s="94"/>
      <c r="AE125" s="101" t="str">
        <f t="shared" si="27"/>
        <v/>
      </c>
    </row>
    <row r="126" spans="1:31" ht="15.75">
      <c r="A126" s="62" t="str">
        <f t="shared" si="28"/>
        <v/>
      </c>
      <c r="B126" s="44"/>
      <c r="C126" s="46"/>
      <c r="D126" s="46"/>
      <c r="E126" s="50">
        <f t="shared" si="29"/>
        <v>0</v>
      </c>
      <c r="F126" s="48"/>
      <c r="G126" s="51">
        <f t="shared" si="30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31"/>
        <v>0</v>
      </c>
      <c r="U126" s="51">
        <f t="shared" si="32"/>
        <v>0</v>
      </c>
      <c r="V126" s="51">
        <f t="shared" si="33"/>
        <v>0</v>
      </c>
      <c r="W126" s="52">
        <f t="shared" si="34"/>
        <v>0</v>
      </c>
      <c r="X126" s="48"/>
      <c r="Y126" s="58">
        <f t="shared" si="25"/>
        <v>0</v>
      </c>
      <c r="Z126" s="49" t="str">
        <f t="shared" si="35"/>
        <v/>
      </c>
      <c r="AA126" s="64"/>
      <c r="AB126" s="94"/>
      <c r="AE126" s="101" t="str">
        <f t="shared" si="27"/>
        <v/>
      </c>
    </row>
    <row r="127" spans="1:31" ht="15.75">
      <c r="A127" s="62" t="str">
        <f t="shared" si="28"/>
        <v/>
      </c>
      <c r="B127" s="44"/>
      <c r="C127" s="46"/>
      <c r="D127" s="46"/>
      <c r="E127" s="50">
        <f t="shared" si="29"/>
        <v>0</v>
      </c>
      <c r="F127" s="48"/>
      <c r="G127" s="51">
        <f t="shared" si="30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31"/>
        <v>0</v>
      </c>
      <c r="U127" s="51">
        <f t="shared" si="32"/>
        <v>0</v>
      </c>
      <c r="V127" s="51">
        <f t="shared" si="33"/>
        <v>0</v>
      </c>
      <c r="W127" s="52">
        <f t="shared" si="34"/>
        <v>0</v>
      </c>
      <c r="X127" s="48"/>
      <c r="Y127" s="58">
        <f t="shared" si="25"/>
        <v>0</v>
      </c>
      <c r="Z127" s="49" t="str">
        <f t="shared" si="35"/>
        <v/>
      </c>
      <c r="AA127" s="64"/>
      <c r="AB127" s="94"/>
      <c r="AE127" s="101" t="str">
        <f t="shared" si="27"/>
        <v/>
      </c>
    </row>
    <row r="128" spans="1:31" ht="15.75">
      <c r="A128" s="62" t="str">
        <f t="shared" si="28"/>
        <v/>
      </c>
      <c r="B128" s="44"/>
      <c r="C128" s="46"/>
      <c r="D128" s="46"/>
      <c r="E128" s="50">
        <f t="shared" si="29"/>
        <v>0</v>
      </c>
      <c r="F128" s="48"/>
      <c r="G128" s="51">
        <f t="shared" si="30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31"/>
        <v>0</v>
      </c>
      <c r="U128" s="51">
        <f t="shared" si="32"/>
        <v>0</v>
      </c>
      <c r="V128" s="51">
        <f t="shared" si="33"/>
        <v>0</v>
      </c>
      <c r="W128" s="52">
        <f t="shared" si="34"/>
        <v>0</v>
      </c>
      <c r="X128" s="48"/>
      <c r="Y128" s="58">
        <f t="shared" si="25"/>
        <v>0</v>
      </c>
      <c r="Z128" s="49" t="str">
        <f t="shared" si="35"/>
        <v/>
      </c>
      <c r="AA128" s="64"/>
      <c r="AB128" s="94"/>
      <c r="AE128" s="101" t="str">
        <f t="shared" si="27"/>
        <v/>
      </c>
    </row>
    <row r="129" spans="1:31" ht="15.75">
      <c r="A129" s="62" t="str">
        <f t="shared" si="28"/>
        <v/>
      </c>
      <c r="B129" s="44"/>
      <c r="C129" s="46"/>
      <c r="D129" s="46"/>
      <c r="E129" s="50">
        <f t="shared" si="29"/>
        <v>0</v>
      </c>
      <c r="F129" s="48"/>
      <c r="G129" s="51">
        <f t="shared" si="30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31"/>
        <v>0</v>
      </c>
      <c r="U129" s="51">
        <f t="shared" si="32"/>
        <v>0</v>
      </c>
      <c r="V129" s="51">
        <f t="shared" si="33"/>
        <v>0</v>
      </c>
      <c r="W129" s="52">
        <f t="shared" si="34"/>
        <v>0</v>
      </c>
      <c r="X129" s="48"/>
      <c r="Y129" s="58">
        <f t="shared" si="25"/>
        <v>0</v>
      </c>
      <c r="Z129" s="49" t="str">
        <f t="shared" si="35"/>
        <v/>
      </c>
      <c r="AA129" s="64"/>
      <c r="AB129" s="94"/>
      <c r="AE129" s="101" t="str">
        <f t="shared" si="27"/>
        <v/>
      </c>
    </row>
    <row r="130" spans="1:31" ht="15.75">
      <c r="A130" s="62" t="str">
        <f t="shared" si="28"/>
        <v/>
      </c>
      <c r="B130" s="44"/>
      <c r="C130" s="46"/>
      <c r="D130" s="46"/>
      <c r="E130" s="50">
        <f t="shared" si="29"/>
        <v>0</v>
      </c>
      <c r="F130" s="48"/>
      <c r="G130" s="51">
        <f t="shared" si="30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31"/>
        <v>0</v>
      </c>
      <c r="U130" s="51">
        <f t="shared" si="32"/>
        <v>0</v>
      </c>
      <c r="V130" s="51">
        <f t="shared" si="33"/>
        <v>0</v>
      </c>
      <c r="W130" s="52">
        <f t="shared" si="34"/>
        <v>0</v>
      </c>
      <c r="X130" s="48"/>
      <c r="Y130" s="58">
        <f t="shared" si="25"/>
        <v>0</v>
      </c>
      <c r="Z130" s="49" t="str">
        <f t="shared" si="35"/>
        <v/>
      </c>
      <c r="AA130" s="64"/>
      <c r="AB130" s="94"/>
      <c r="AE130" s="101" t="str">
        <f t="shared" si="27"/>
        <v/>
      </c>
    </row>
    <row r="131" spans="1:31" ht="15.75">
      <c r="A131" s="62" t="str">
        <f t="shared" si="28"/>
        <v/>
      </c>
      <c r="B131" s="44"/>
      <c r="C131" s="46"/>
      <c r="D131" s="46"/>
      <c r="E131" s="50">
        <f t="shared" si="29"/>
        <v>0</v>
      </c>
      <c r="F131" s="48"/>
      <c r="G131" s="51">
        <f t="shared" si="30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31"/>
        <v>0</v>
      </c>
      <c r="U131" s="51">
        <f t="shared" si="32"/>
        <v>0</v>
      </c>
      <c r="V131" s="51">
        <f t="shared" si="33"/>
        <v>0</v>
      </c>
      <c r="W131" s="52">
        <f t="shared" si="34"/>
        <v>0</v>
      </c>
      <c r="X131" s="48"/>
      <c r="Y131" s="58">
        <f t="shared" si="25"/>
        <v>0</v>
      </c>
      <c r="Z131" s="49" t="str">
        <f t="shared" si="35"/>
        <v/>
      </c>
      <c r="AA131" s="64"/>
      <c r="AB131" s="94"/>
      <c r="AE131" s="101" t="str">
        <f t="shared" si="27"/>
        <v/>
      </c>
    </row>
    <row r="132" spans="1:31" ht="15.75">
      <c r="A132" s="62" t="str">
        <f t="shared" ref="A132:A163" si="36">IF(B132="","","LOC-"&amp;TEXT(ROW()-5,"000"))</f>
        <v/>
      </c>
      <c r="B132" s="44"/>
      <c r="C132" s="46"/>
      <c r="D132" s="46"/>
      <c r="E132" s="50">
        <f t="shared" ref="E132:E163" si="37">IF(OR(B132="",C132="",D132=""),0,MAX(0,D132-C132))</f>
        <v>0</v>
      </c>
      <c r="F132" s="48"/>
      <c r="G132" s="51">
        <f t="shared" ref="G132:G163" si="38">IF(OR(B132="",E132=0,F132=""),0,E132*F132)</f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ref="T132:T163" si="39">IF(OR(B132="",E132=0),0,S132/E132)</f>
        <v>0</v>
      </c>
      <c r="U132" s="51">
        <f t="shared" ref="U132:U163" si="40">IF(B132="",0,G132-S132)</f>
        <v>0</v>
      </c>
      <c r="V132" s="51">
        <f t="shared" ref="V132:V163" si="41">IF(OR(B132="",E132=0),0,U132/E132)</f>
        <v>0</v>
      </c>
      <c r="W132" s="52">
        <f t="shared" ref="W132:W163" si="42">IF(OR(B132="",G132=0),0,U132/G132)</f>
        <v>0</v>
      </c>
      <c r="X132" s="48"/>
      <c r="Y132" s="58">
        <f t="shared" si="25"/>
        <v>0</v>
      </c>
      <c r="Z132" s="49" t="str">
        <f t="shared" si="35"/>
        <v/>
      </c>
      <c r="AA132" s="64"/>
      <c r="AB132" s="94"/>
      <c r="AE132" s="101" t="str">
        <f t="shared" si="27"/>
        <v/>
      </c>
    </row>
    <row r="133" spans="1:31" ht="15.75">
      <c r="A133" s="62" t="str">
        <f t="shared" si="36"/>
        <v/>
      </c>
      <c r="B133" s="44"/>
      <c r="C133" s="46"/>
      <c r="D133" s="46"/>
      <c r="E133" s="50">
        <f t="shared" si="37"/>
        <v>0</v>
      </c>
      <c r="F133" s="48"/>
      <c r="G133" s="51">
        <f t="shared" si="38"/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si="39"/>
        <v>0</v>
      </c>
      <c r="U133" s="51">
        <f t="shared" si="40"/>
        <v>0</v>
      </c>
      <c r="V133" s="51">
        <f t="shared" si="41"/>
        <v>0</v>
      </c>
      <c r="W133" s="52">
        <f t="shared" si="42"/>
        <v>0</v>
      </c>
      <c r="X133" s="48"/>
      <c r="Y133" s="58">
        <f t="shared" ref="Y133:Y196" si="43">IF(B133="",0,IFERROR(MAX(0,G133-X133),G133))</f>
        <v>0</v>
      </c>
      <c r="Z133" s="49" t="str">
        <f t="shared" si="35"/>
        <v/>
      </c>
      <c r="AA133" s="64"/>
      <c r="AB133" s="94"/>
      <c r="AE133" s="101" t="str">
        <f t="shared" si="27"/>
        <v/>
      </c>
    </row>
    <row r="134" spans="1:31" ht="15.75">
      <c r="A134" s="62" t="str">
        <f t="shared" si="36"/>
        <v/>
      </c>
      <c r="B134" s="44"/>
      <c r="C134" s="46"/>
      <c r="D134" s="46"/>
      <c r="E134" s="50">
        <f t="shared" si="37"/>
        <v>0</v>
      </c>
      <c r="F134" s="48"/>
      <c r="G134" s="51">
        <f t="shared" si="38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9"/>
        <v>0</v>
      </c>
      <c r="U134" s="51">
        <f t="shared" si="40"/>
        <v>0</v>
      </c>
      <c r="V134" s="51">
        <f t="shared" si="41"/>
        <v>0</v>
      </c>
      <c r="W134" s="52">
        <f t="shared" si="42"/>
        <v>0</v>
      </c>
      <c r="X134" s="48"/>
      <c r="Y134" s="58">
        <f t="shared" si="43"/>
        <v>0</v>
      </c>
      <c r="Z134" s="49" t="str">
        <f t="shared" ref="Z134:Z165" si="44">IF(B134="","",IF(COUNTIFS($C$6:$C$203,"&lt;"&amp;D134,$D$6:$D$203,"&gt;"&amp;C134,$I$6:$I$203,"&lt;&gt;Cancelada",$I$6:$I$203,"&lt;&gt;Consulta",$AB$6:$AB$203,$AB134)&gt;1,"CONFLITO","OK"))</f>
        <v/>
      </c>
      <c r="AA134" s="64"/>
      <c r="AB134" s="94"/>
      <c r="AE134" s="101" t="str">
        <f t="shared" si="27"/>
        <v/>
      </c>
    </row>
    <row r="135" spans="1:31" ht="15.75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8">
        <f t="shared" si="43"/>
        <v>0</v>
      </c>
      <c r="Z135" s="49" t="str">
        <f t="shared" si="44"/>
        <v/>
      </c>
      <c r="AA135" s="64"/>
      <c r="AB135" s="94"/>
      <c r="AE135" s="101" t="str">
        <f t="shared" ref="AE135:AE198" si="45">IF((AC135+AD135)=0,"",AC135+AD135)</f>
        <v/>
      </c>
    </row>
    <row r="136" spans="1:31" ht="15.75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8">
        <f t="shared" si="43"/>
        <v>0</v>
      </c>
      <c r="Z136" s="49" t="str">
        <f t="shared" si="44"/>
        <v/>
      </c>
      <c r="AA136" s="64"/>
      <c r="AB136" s="94"/>
      <c r="AE136" s="101" t="str">
        <f t="shared" si="45"/>
        <v/>
      </c>
    </row>
    <row r="137" spans="1:31" ht="15.75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8">
        <f t="shared" si="43"/>
        <v>0</v>
      </c>
      <c r="Z137" s="49" t="str">
        <f t="shared" si="44"/>
        <v/>
      </c>
      <c r="AA137" s="64"/>
      <c r="AB137" s="94"/>
      <c r="AE137" s="101" t="str">
        <f t="shared" si="45"/>
        <v/>
      </c>
    </row>
    <row r="138" spans="1:31" ht="15.75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8">
        <f t="shared" si="43"/>
        <v>0</v>
      </c>
      <c r="Z138" s="49" t="str">
        <f t="shared" si="44"/>
        <v/>
      </c>
      <c r="AA138" s="64"/>
      <c r="AB138" s="94"/>
      <c r="AE138" s="101" t="str">
        <f t="shared" si="45"/>
        <v/>
      </c>
    </row>
    <row r="139" spans="1:31" ht="15.75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8">
        <f t="shared" si="43"/>
        <v>0</v>
      </c>
      <c r="Z139" s="49" t="str">
        <f t="shared" si="44"/>
        <v/>
      </c>
      <c r="AA139" s="64"/>
      <c r="AB139" s="94"/>
      <c r="AE139" s="101" t="str">
        <f t="shared" si="45"/>
        <v/>
      </c>
    </row>
    <row r="140" spans="1:31" ht="15.75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8">
        <f t="shared" si="43"/>
        <v>0</v>
      </c>
      <c r="Z140" s="49" t="str">
        <f t="shared" si="44"/>
        <v/>
      </c>
      <c r="AA140" s="64"/>
      <c r="AB140" s="94"/>
      <c r="AE140" s="101" t="str">
        <f t="shared" si="45"/>
        <v/>
      </c>
    </row>
    <row r="141" spans="1:31" ht="15.75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8">
        <f t="shared" si="43"/>
        <v>0</v>
      </c>
      <c r="Z141" s="49" t="str">
        <f t="shared" si="44"/>
        <v/>
      </c>
      <c r="AA141" s="64"/>
      <c r="AB141" s="94"/>
      <c r="AE141" s="101" t="str">
        <f t="shared" si="45"/>
        <v/>
      </c>
    </row>
    <row r="142" spans="1:31" ht="15.75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8">
        <f t="shared" si="43"/>
        <v>0</v>
      </c>
      <c r="Z142" s="49" t="str">
        <f t="shared" si="44"/>
        <v/>
      </c>
      <c r="AA142" s="64"/>
      <c r="AB142" s="94"/>
      <c r="AE142" s="101" t="str">
        <f t="shared" si="45"/>
        <v/>
      </c>
    </row>
    <row r="143" spans="1:31" ht="15.75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8">
        <f t="shared" si="43"/>
        <v>0</v>
      </c>
      <c r="Z143" s="49" t="str">
        <f t="shared" si="44"/>
        <v/>
      </c>
      <c r="AA143" s="64"/>
      <c r="AB143" s="94"/>
      <c r="AE143" s="101" t="str">
        <f t="shared" si="45"/>
        <v/>
      </c>
    </row>
    <row r="144" spans="1:31" ht="15.75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8">
        <f t="shared" si="43"/>
        <v>0</v>
      </c>
      <c r="Z144" s="49" t="str">
        <f t="shared" si="44"/>
        <v/>
      </c>
      <c r="AA144" s="64"/>
      <c r="AB144" s="94"/>
      <c r="AE144" s="101" t="str">
        <f t="shared" si="45"/>
        <v/>
      </c>
    </row>
    <row r="145" spans="1:31" ht="15.75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8">
        <f t="shared" si="43"/>
        <v>0</v>
      </c>
      <c r="Z145" s="49" t="str">
        <f t="shared" si="44"/>
        <v/>
      </c>
      <c r="AA145" s="64"/>
      <c r="AB145" s="94"/>
      <c r="AE145" s="101" t="str">
        <f t="shared" si="45"/>
        <v/>
      </c>
    </row>
    <row r="146" spans="1:31" ht="15.75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8">
        <f t="shared" si="43"/>
        <v>0</v>
      </c>
      <c r="Z146" s="49" t="str">
        <f t="shared" si="44"/>
        <v/>
      </c>
      <c r="AA146" s="64"/>
      <c r="AB146" s="94"/>
      <c r="AE146" s="101" t="str">
        <f t="shared" si="45"/>
        <v/>
      </c>
    </row>
    <row r="147" spans="1:31" ht="15.75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8">
        <f t="shared" si="43"/>
        <v>0</v>
      </c>
      <c r="Z147" s="49" t="str">
        <f t="shared" si="44"/>
        <v/>
      </c>
      <c r="AA147" s="64"/>
      <c r="AB147" s="94"/>
      <c r="AE147" s="101" t="str">
        <f t="shared" si="45"/>
        <v/>
      </c>
    </row>
    <row r="148" spans="1:31" ht="15.75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8">
        <f t="shared" si="43"/>
        <v>0</v>
      </c>
      <c r="Z148" s="49" t="str">
        <f t="shared" si="44"/>
        <v/>
      </c>
      <c r="AA148" s="64"/>
      <c r="AB148" s="94"/>
      <c r="AE148" s="101" t="str">
        <f t="shared" si="45"/>
        <v/>
      </c>
    </row>
    <row r="149" spans="1:31" ht="15.75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8">
        <f t="shared" si="43"/>
        <v>0</v>
      </c>
      <c r="Z149" s="49" t="str">
        <f t="shared" si="44"/>
        <v/>
      </c>
      <c r="AA149" s="64"/>
      <c r="AB149" s="94"/>
      <c r="AE149" s="101" t="str">
        <f t="shared" si="45"/>
        <v/>
      </c>
    </row>
    <row r="150" spans="1:31" ht="15.75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8">
        <f t="shared" si="43"/>
        <v>0</v>
      </c>
      <c r="Z150" s="49" t="str">
        <f t="shared" si="44"/>
        <v/>
      </c>
      <c r="AA150" s="64"/>
      <c r="AB150" s="94"/>
      <c r="AE150" s="101" t="str">
        <f t="shared" si="45"/>
        <v/>
      </c>
    </row>
    <row r="151" spans="1:31" ht="15.75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8">
        <f t="shared" si="43"/>
        <v>0</v>
      </c>
      <c r="Z151" s="49" t="str">
        <f t="shared" si="44"/>
        <v/>
      </c>
      <c r="AA151" s="64"/>
      <c r="AB151" s="94"/>
      <c r="AE151" s="101" t="str">
        <f t="shared" si="45"/>
        <v/>
      </c>
    </row>
    <row r="152" spans="1:31" ht="15.75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8">
        <f t="shared" si="43"/>
        <v>0</v>
      </c>
      <c r="Z152" s="49" t="str">
        <f t="shared" si="44"/>
        <v/>
      </c>
      <c r="AA152" s="64"/>
      <c r="AB152" s="94"/>
      <c r="AE152" s="101" t="str">
        <f t="shared" si="45"/>
        <v/>
      </c>
    </row>
    <row r="153" spans="1:31" ht="15.75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8">
        <f t="shared" si="43"/>
        <v>0</v>
      </c>
      <c r="Z153" s="49" t="str">
        <f t="shared" si="44"/>
        <v/>
      </c>
      <c r="AA153" s="64"/>
      <c r="AB153" s="94"/>
      <c r="AE153" s="101" t="str">
        <f t="shared" si="45"/>
        <v/>
      </c>
    </row>
    <row r="154" spans="1:31" ht="15.75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8">
        <f t="shared" si="43"/>
        <v>0</v>
      </c>
      <c r="Z154" s="49" t="str">
        <f t="shared" si="44"/>
        <v/>
      </c>
      <c r="AA154" s="64"/>
      <c r="AB154" s="94"/>
      <c r="AE154" s="101" t="str">
        <f t="shared" si="45"/>
        <v/>
      </c>
    </row>
    <row r="155" spans="1:31" ht="15.75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8">
        <f t="shared" si="43"/>
        <v>0</v>
      </c>
      <c r="Z155" s="49" t="str">
        <f t="shared" si="44"/>
        <v/>
      </c>
      <c r="AA155" s="64"/>
      <c r="AB155" s="94"/>
      <c r="AE155" s="101" t="str">
        <f t="shared" si="45"/>
        <v/>
      </c>
    </row>
    <row r="156" spans="1:31" ht="15.75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8">
        <f t="shared" si="43"/>
        <v>0</v>
      </c>
      <c r="Z156" s="49" t="str">
        <f t="shared" si="44"/>
        <v/>
      </c>
      <c r="AA156" s="64"/>
      <c r="AB156" s="94"/>
      <c r="AE156" s="101" t="str">
        <f t="shared" si="45"/>
        <v/>
      </c>
    </row>
    <row r="157" spans="1:31" ht="15.75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8">
        <f t="shared" si="43"/>
        <v>0</v>
      </c>
      <c r="Z157" s="49" t="str">
        <f t="shared" si="44"/>
        <v/>
      </c>
      <c r="AA157" s="64"/>
      <c r="AB157" s="94"/>
      <c r="AE157" s="101" t="str">
        <f t="shared" si="45"/>
        <v/>
      </c>
    </row>
    <row r="158" spans="1:31" ht="15.75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8">
        <f t="shared" si="43"/>
        <v>0</v>
      </c>
      <c r="Z158" s="49" t="str">
        <f t="shared" si="44"/>
        <v/>
      </c>
      <c r="AA158" s="64"/>
      <c r="AB158" s="94"/>
      <c r="AE158" s="101" t="str">
        <f t="shared" si="45"/>
        <v/>
      </c>
    </row>
    <row r="159" spans="1:31" ht="15.75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8">
        <f t="shared" si="43"/>
        <v>0</v>
      </c>
      <c r="Z159" s="49" t="str">
        <f t="shared" si="44"/>
        <v/>
      </c>
      <c r="AA159" s="64"/>
      <c r="AB159" s="94"/>
      <c r="AE159" s="101" t="str">
        <f t="shared" si="45"/>
        <v/>
      </c>
    </row>
    <row r="160" spans="1:31" ht="15.75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8">
        <f t="shared" si="43"/>
        <v>0</v>
      </c>
      <c r="Z160" s="49" t="str">
        <f t="shared" si="44"/>
        <v/>
      </c>
      <c r="AA160" s="64"/>
      <c r="AB160" s="94"/>
      <c r="AE160" s="101" t="str">
        <f t="shared" si="45"/>
        <v/>
      </c>
    </row>
    <row r="161" spans="1:31" ht="15.75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8">
        <f t="shared" si="43"/>
        <v>0</v>
      </c>
      <c r="Z161" s="49" t="str">
        <f t="shared" si="44"/>
        <v/>
      </c>
      <c r="AA161" s="64"/>
      <c r="AB161" s="94"/>
      <c r="AE161" s="101" t="str">
        <f t="shared" si="45"/>
        <v/>
      </c>
    </row>
    <row r="162" spans="1:31" ht="15.75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8">
        <f t="shared" si="43"/>
        <v>0</v>
      </c>
      <c r="Z162" s="49" t="str">
        <f t="shared" si="44"/>
        <v/>
      </c>
      <c r="AA162" s="64"/>
      <c r="AB162" s="94"/>
      <c r="AE162" s="101" t="str">
        <f t="shared" si="45"/>
        <v/>
      </c>
    </row>
    <row r="163" spans="1:31" ht="15.75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8">
        <f t="shared" si="43"/>
        <v>0</v>
      </c>
      <c r="Z163" s="49" t="str">
        <f t="shared" si="44"/>
        <v/>
      </c>
      <c r="AA163" s="64"/>
      <c r="AB163" s="94"/>
      <c r="AE163" s="101" t="str">
        <f t="shared" si="45"/>
        <v/>
      </c>
    </row>
    <row r="164" spans="1:31" ht="15.75">
      <c r="A164" s="62" t="str">
        <f t="shared" ref="A164:A195" si="46">IF(B164="","","LOC-"&amp;TEXT(ROW()-5,"000"))</f>
        <v/>
      </c>
      <c r="B164" s="44"/>
      <c r="C164" s="46"/>
      <c r="D164" s="46"/>
      <c r="E164" s="50">
        <f t="shared" ref="E164:E195" si="47">IF(OR(B164="",C164="",D164=""),0,MAX(0,D164-C164))</f>
        <v>0</v>
      </c>
      <c r="F164" s="48"/>
      <c r="G164" s="51">
        <f t="shared" ref="G164:G195" si="48">IF(OR(B164="",E164=0,F164=""),0,E164*F164)</f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ref="T164:T195" si="49">IF(OR(B164="",E164=0),0,S164/E164)</f>
        <v>0</v>
      </c>
      <c r="U164" s="51">
        <f t="shared" ref="U164:U195" si="50">IF(B164="",0,G164-S164)</f>
        <v>0</v>
      </c>
      <c r="V164" s="51">
        <f t="shared" ref="V164:V195" si="51">IF(OR(B164="",E164=0),0,U164/E164)</f>
        <v>0</v>
      </c>
      <c r="W164" s="52">
        <f t="shared" ref="W164:W195" si="52">IF(OR(B164="",G164=0),0,U164/G164)</f>
        <v>0</v>
      </c>
      <c r="X164" s="48"/>
      <c r="Y164" s="58">
        <f t="shared" si="43"/>
        <v>0</v>
      </c>
      <c r="Z164" s="49" t="str">
        <f t="shared" si="44"/>
        <v/>
      </c>
      <c r="AA164" s="64"/>
      <c r="AB164" s="94"/>
      <c r="AE164" s="101" t="str">
        <f t="shared" si="45"/>
        <v/>
      </c>
    </row>
    <row r="165" spans="1:31" ht="15.75">
      <c r="A165" s="62" t="str">
        <f t="shared" si="46"/>
        <v/>
      </c>
      <c r="B165" s="44"/>
      <c r="C165" s="46"/>
      <c r="D165" s="46"/>
      <c r="E165" s="50">
        <f t="shared" si="47"/>
        <v>0</v>
      </c>
      <c r="F165" s="48"/>
      <c r="G165" s="51">
        <f t="shared" si="48"/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si="49"/>
        <v>0</v>
      </c>
      <c r="U165" s="51">
        <f t="shared" si="50"/>
        <v>0</v>
      </c>
      <c r="V165" s="51">
        <f t="shared" si="51"/>
        <v>0</v>
      </c>
      <c r="W165" s="52">
        <f t="shared" si="52"/>
        <v>0</v>
      </c>
      <c r="X165" s="48"/>
      <c r="Y165" s="58">
        <f t="shared" si="43"/>
        <v>0</v>
      </c>
      <c r="Z165" s="49" t="str">
        <f t="shared" si="44"/>
        <v/>
      </c>
      <c r="AA165" s="64"/>
      <c r="AB165" s="94"/>
      <c r="AE165" s="101" t="str">
        <f t="shared" si="45"/>
        <v/>
      </c>
    </row>
    <row r="166" spans="1:31" ht="15.75">
      <c r="A166" s="62" t="str">
        <f t="shared" si="46"/>
        <v/>
      </c>
      <c r="B166" s="44"/>
      <c r="C166" s="46"/>
      <c r="D166" s="46"/>
      <c r="E166" s="50">
        <f t="shared" si="47"/>
        <v>0</v>
      </c>
      <c r="F166" s="48"/>
      <c r="G166" s="51">
        <f t="shared" si="48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9"/>
        <v>0</v>
      </c>
      <c r="U166" s="51">
        <f t="shared" si="50"/>
        <v>0</v>
      </c>
      <c r="V166" s="51">
        <f t="shared" si="51"/>
        <v>0</v>
      </c>
      <c r="W166" s="52">
        <f t="shared" si="52"/>
        <v>0</v>
      </c>
      <c r="X166" s="48"/>
      <c r="Y166" s="58">
        <f t="shared" si="43"/>
        <v>0</v>
      </c>
      <c r="Z166" s="49" t="str">
        <f t="shared" ref="Z166:Z197" si="53">IF(B166="","",IF(COUNTIFS($C$6:$C$203,"&lt;"&amp;D166,$D$6:$D$203,"&gt;"&amp;C166,$I$6:$I$203,"&lt;&gt;Cancelada",$I$6:$I$203,"&lt;&gt;Consulta",$AB$6:$AB$203,$AB166)&gt;1,"CONFLITO","OK"))</f>
        <v/>
      </c>
      <c r="AA166" s="64"/>
      <c r="AB166" s="94"/>
      <c r="AE166" s="101" t="str">
        <f t="shared" si="45"/>
        <v/>
      </c>
    </row>
    <row r="167" spans="1:31" ht="15.75">
      <c r="A167" s="62" t="str">
        <f t="shared" si="46"/>
        <v/>
      </c>
      <c r="B167" s="44"/>
      <c r="C167" s="46"/>
      <c r="D167" s="46"/>
      <c r="E167" s="50">
        <f t="shared" si="47"/>
        <v>0</v>
      </c>
      <c r="F167" s="48"/>
      <c r="G167" s="51">
        <f t="shared" si="48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9"/>
        <v>0</v>
      </c>
      <c r="U167" s="51">
        <f t="shared" si="50"/>
        <v>0</v>
      </c>
      <c r="V167" s="51">
        <f t="shared" si="51"/>
        <v>0</v>
      </c>
      <c r="W167" s="52">
        <f t="shared" si="52"/>
        <v>0</v>
      </c>
      <c r="X167" s="48"/>
      <c r="Y167" s="58">
        <f t="shared" si="43"/>
        <v>0</v>
      </c>
      <c r="Z167" s="49" t="str">
        <f t="shared" si="53"/>
        <v/>
      </c>
      <c r="AA167" s="64"/>
      <c r="AB167" s="94"/>
      <c r="AE167" s="101" t="str">
        <f t="shared" si="45"/>
        <v/>
      </c>
    </row>
    <row r="168" spans="1:31" ht="15.75">
      <c r="A168" s="62" t="str">
        <f t="shared" si="46"/>
        <v/>
      </c>
      <c r="B168" s="44"/>
      <c r="C168" s="46"/>
      <c r="D168" s="46"/>
      <c r="E168" s="50">
        <f t="shared" si="47"/>
        <v>0</v>
      </c>
      <c r="F168" s="48"/>
      <c r="G168" s="51">
        <f t="shared" si="48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9"/>
        <v>0</v>
      </c>
      <c r="U168" s="51">
        <f t="shared" si="50"/>
        <v>0</v>
      </c>
      <c r="V168" s="51">
        <f t="shared" si="51"/>
        <v>0</v>
      </c>
      <c r="W168" s="52">
        <f t="shared" si="52"/>
        <v>0</v>
      </c>
      <c r="X168" s="48"/>
      <c r="Y168" s="58">
        <f t="shared" si="43"/>
        <v>0</v>
      </c>
      <c r="Z168" s="49" t="str">
        <f t="shared" si="53"/>
        <v/>
      </c>
      <c r="AA168" s="64"/>
      <c r="AB168" s="94"/>
      <c r="AE168" s="101" t="str">
        <f t="shared" si="45"/>
        <v/>
      </c>
    </row>
    <row r="169" spans="1:31" ht="15.75">
      <c r="A169" s="62" t="str">
        <f t="shared" si="46"/>
        <v/>
      </c>
      <c r="B169" s="44"/>
      <c r="C169" s="46"/>
      <c r="D169" s="46"/>
      <c r="E169" s="50">
        <f t="shared" si="47"/>
        <v>0</v>
      </c>
      <c r="F169" s="48"/>
      <c r="G169" s="51">
        <f t="shared" si="48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9"/>
        <v>0</v>
      </c>
      <c r="U169" s="51">
        <f t="shared" si="50"/>
        <v>0</v>
      </c>
      <c r="V169" s="51">
        <f t="shared" si="51"/>
        <v>0</v>
      </c>
      <c r="W169" s="52">
        <f t="shared" si="52"/>
        <v>0</v>
      </c>
      <c r="X169" s="48"/>
      <c r="Y169" s="58">
        <f t="shared" si="43"/>
        <v>0</v>
      </c>
      <c r="Z169" s="49" t="str">
        <f t="shared" si="53"/>
        <v/>
      </c>
      <c r="AA169" s="64"/>
      <c r="AB169" s="94"/>
      <c r="AE169" s="101" t="str">
        <f t="shared" si="45"/>
        <v/>
      </c>
    </row>
    <row r="170" spans="1:31" ht="15.75">
      <c r="A170" s="62" t="str">
        <f t="shared" si="46"/>
        <v/>
      </c>
      <c r="B170" s="44"/>
      <c r="C170" s="46"/>
      <c r="D170" s="46"/>
      <c r="E170" s="50">
        <f t="shared" si="47"/>
        <v>0</v>
      </c>
      <c r="F170" s="48"/>
      <c r="G170" s="51">
        <f t="shared" si="48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9"/>
        <v>0</v>
      </c>
      <c r="U170" s="51">
        <f t="shared" si="50"/>
        <v>0</v>
      </c>
      <c r="V170" s="51">
        <f t="shared" si="51"/>
        <v>0</v>
      </c>
      <c r="W170" s="52">
        <f t="shared" si="52"/>
        <v>0</v>
      </c>
      <c r="X170" s="48"/>
      <c r="Y170" s="58">
        <f t="shared" si="43"/>
        <v>0</v>
      </c>
      <c r="Z170" s="49" t="str">
        <f t="shared" si="53"/>
        <v/>
      </c>
      <c r="AA170" s="64"/>
      <c r="AB170" s="94"/>
      <c r="AE170" s="101" t="str">
        <f t="shared" si="45"/>
        <v/>
      </c>
    </row>
    <row r="171" spans="1:31" ht="15.75">
      <c r="A171" s="62" t="str">
        <f t="shared" si="46"/>
        <v/>
      </c>
      <c r="B171" s="44"/>
      <c r="C171" s="46"/>
      <c r="D171" s="46"/>
      <c r="E171" s="50">
        <f t="shared" si="47"/>
        <v>0</v>
      </c>
      <c r="F171" s="48"/>
      <c r="G171" s="51">
        <f t="shared" si="48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9"/>
        <v>0</v>
      </c>
      <c r="U171" s="51">
        <f t="shared" si="50"/>
        <v>0</v>
      </c>
      <c r="V171" s="51">
        <f t="shared" si="51"/>
        <v>0</v>
      </c>
      <c r="W171" s="52">
        <f t="shared" si="52"/>
        <v>0</v>
      </c>
      <c r="X171" s="48"/>
      <c r="Y171" s="58">
        <f t="shared" si="43"/>
        <v>0</v>
      </c>
      <c r="Z171" s="49" t="str">
        <f t="shared" si="53"/>
        <v/>
      </c>
      <c r="AA171" s="64"/>
      <c r="AB171" s="94"/>
      <c r="AE171" s="101" t="str">
        <f t="shared" si="45"/>
        <v/>
      </c>
    </row>
    <row r="172" spans="1:31" ht="15.75">
      <c r="A172" s="62" t="str">
        <f t="shared" si="46"/>
        <v/>
      </c>
      <c r="B172" s="44"/>
      <c r="C172" s="46"/>
      <c r="D172" s="46"/>
      <c r="E172" s="50">
        <f t="shared" si="47"/>
        <v>0</v>
      </c>
      <c r="F172" s="48"/>
      <c r="G172" s="51">
        <f t="shared" si="48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9"/>
        <v>0</v>
      </c>
      <c r="U172" s="51">
        <f t="shared" si="50"/>
        <v>0</v>
      </c>
      <c r="V172" s="51">
        <f t="shared" si="51"/>
        <v>0</v>
      </c>
      <c r="W172" s="52">
        <f t="shared" si="52"/>
        <v>0</v>
      </c>
      <c r="X172" s="48"/>
      <c r="Y172" s="58">
        <f t="shared" si="43"/>
        <v>0</v>
      </c>
      <c r="Z172" s="49" t="str">
        <f t="shared" si="53"/>
        <v/>
      </c>
      <c r="AA172" s="64"/>
      <c r="AB172" s="94"/>
      <c r="AE172" s="101" t="str">
        <f t="shared" si="45"/>
        <v/>
      </c>
    </row>
    <row r="173" spans="1:31" ht="15.75">
      <c r="A173" s="62" t="str">
        <f t="shared" si="46"/>
        <v/>
      </c>
      <c r="B173" s="44"/>
      <c r="C173" s="46"/>
      <c r="D173" s="46"/>
      <c r="E173" s="50">
        <f t="shared" si="47"/>
        <v>0</v>
      </c>
      <c r="F173" s="48"/>
      <c r="G173" s="51">
        <f t="shared" si="48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9"/>
        <v>0</v>
      </c>
      <c r="U173" s="51">
        <f t="shared" si="50"/>
        <v>0</v>
      </c>
      <c r="V173" s="51">
        <f t="shared" si="51"/>
        <v>0</v>
      </c>
      <c r="W173" s="52">
        <f t="shared" si="52"/>
        <v>0</v>
      </c>
      <c r="X173" s="48"/>
      <c r="Y173" s="58">
        <f t="shared" si="43"/>
        <v>0</v>
      </c>
      <c r="Z173" s="49" t="str">
        <f t="shared" si="53"/>
        <v/>
      </c>
      <c r="AA173" s="64"/>
      <c r="AB173" s="94"/>
      <c r="AE173" s="101" t="str">
        <f t="shared" si="45"/>
        <v/>
      </c>
    </row>
    <row r="174" spans="1:31" ht="15.75">
      <c r="A174" s="62" t="str">
        <f t="shared" si="46"/>
        <v/>
      </c>
      <c r="B174" s="44"/>
      <c r="C174" s="46"/>
      <c r="D174" s="46"/>
      <c r="E174" s="50">
        <f t="shared" si="47"/>
        <v>0</v>
      </c>
      <c r="F174" s="48"/>
      <c r="G174" s="51">
        <f t="shared" si="48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9"/>
        <v>0</v>
      </c>
      <c r="U174" s="51">
        <f t="shared" si="50"/>
        <v>0</v>
      </c>
      <c r="V174" s="51">
        <f t="shared" si="51"/>
        <v>0</v>
      </c>
      <c r="W174" s="52">
        <f t="shared" si="52"/>
        <v>0</v>
      </c>
      <c r="X174" s="48"/>
      <c r="Y174" s="58">
        <f t="shared" si="43"/>
        <v>0</v>
      </c>
      <c r="Z174" s="49" t="str">
        <f t="shared" si="53"/>
        <v/>
      </c>
      <c r="AA174" s="64"/>
      <c r="AB174" s="94"/>
      <c r="AE174" s="101" t="str">
        <f t="shared" si="45"/>
        <v/>
      </c>
    </row>
    <row r="175" spans="1:31" ht="15.75">
      <c r="A175" s="62" t="str">
        <f t="shared" si="46"/>
        <v/>
      </c>
      <c r="B175" s="44"/>
      <c r="C175" s="46"/>
      <c r="D175" s="46"/>
      <c r="E175" s="50">
        <f t="shared" si="47"/>
        <v>0</v>
      </c>
      <c r="F175" s="48"/>
      <c r="G175" s="51">
        <f t="shared" si="48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9"/>
        <v>0</v>
      </c>
      <c r="U175" s="51">
        <f t="shared" si="50"/>
        <v>0</v>
      </c>
      <c r="V175" s="51">
        <f t="shared" si="51"/>
        <v>0</v>
      </c>
      <c r="W175" s="52">
        <f t="shared" si="52"/>
        <v>0</v>
      </c>
      <c r="X175" s="48"/>
      <c r="Y175" s="58">
        <f t="shared" si="43"/>
        <v>0</v>
      </c>
      <c r="Z175" s="49" t="str">
        <f t="shared" si="53"/>
        <v/>
      </c>
      <c r="AA175" s="64"/>
      <c r="AB175" s="94"/>
      <c r="AE175" s="101" t="str">
        <f t="shared" si="45"/>
        <v/>
      </c>
    </row>
    <row r="176" spans="1:31" ht="15.75">
      <c r="A176" s="62" t="str">
        <f t="shared" si="46"/>
        <v/>
      </c>
      <c r="B176" s="44"/>
      <c r="C176" s="46"/>
      <c r="D176" s="46"/>
      <c r="E176" s="50">
        <f t="shared" si="47"/>
        <v>0</v>
      </c>
      <c r="F176" s="48"/>
      <c r="G176" s="51">
        <f t="shared" si="48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9"/>
        <v>0</v>
      </c>
      <c r="U176" s="51">
        <f t="shared" si="50"/>
        <v>0</v>
      </c>
      <c r="V176" s="51">
        <f t="shared" si="51"/>
        <v>0</v>
      </c>
      <c r="W176" s="52">
        <f t="shared" si="52"/>
        <v>0</v>
      </c>
      <c r="X176" s="48"/>
      <c r="Y176" s="58">
        <f t="shared" si="43"/>
        <v>0</v>
      </c>
      <c r="Z176" s="49" t="str">
        <f t="shared" si="53"/>
        <v/>
      </c>
      <c r="AA176" s="64"/>
      <c r="AB176" s="94"/>
      <c r="AE176" s="101" t="str">
        <f t="shared" si="45"/>
        <v/>
      </c>
    </row>
    <row r="177" spans="1:31" ht="15.75">
      <c r="A177" s="62" t="str">
        <f t="shared" si="46"/>
        <v/>
      </c>
      <c r="B177" s="44"/>
      <c r="C177" s="46"/>
      <c r="D177" s="46"/>
      <c r="E177" s="50">
        <f t="shared" si="47"/>
        <v>0</v>
      </c>
      <c r="F177" s="48"/>
      <c r="G177" s="51">
        <f t="shared" si="48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9"/>
        <v>0</v>
      </c>
      <c r="U177" s="51">
        <f t="shared" si="50"/>
        <v>0</v>
      </c>
      <c r="V177" s="51">
        <f t="shared" si="51"/>
        <v>0</v>
      </c>
      <c r="W177" s="52">
        <f t="shared" si="52"/>
        <v>0</v>
      </c>
      <c r="X177" s="48"/>
      <c r="Y177" s="58">
        <f t="shared" si="43"/>
        <v>0</v>
      </c>
      <c r="Z177" s="49" t="str">
        <f t="shared" si="53"/>
        <v/>
      </c>
      <c r="AA177" s="64"/>
      <c r="AB177" s="94"/>
      <c r="AE177" s="101" t="str">
        <f t="shared" si="45"/>
        <v/>
      </c>
    </row>
    <row r="178" spans="1:31" ht="15.75">
      <c r="A178" s="62" t="str">
        <f t="shared" si="46"/>
        <v/>
      </c>
      <c r="B178" s="44"/>
      <c r="C178" s="46"/>
      <c r="D178" s="46"/>
      <c r="E178" s="50">
        <f t="shared" si="47"/>
        <v>0</v>
      </c>
      <c r="F178" s="48"/>
      <c r="G178" s="51">
        <f t="shared" si="48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9"/>
        <v>0</v>
      </c>
      <c r="U178" s="51">
        <f t="shared" si="50"/>
        <v>0</v>
      </c>
      <c r="V178" s="51">
        <f t="shared" si="51"/>
        <v>0</v>
      </c>
      <c r="W178" s="52">
        <f t="shared" si="52"/>
        <v>0</v>
      </c>
      <c r="X178" s="48"/>
      <c r="Y178" s="58">
        <f t="shared" si="43"/>
        <v>0</v>
      </c>
      <c r="Z178" s="49" t="str">
        <f t="shared" si="53"/>
        <v/>
      </c>
      <c r="AA178" s="64"/>
      <c r="AB178" s="94"/>
      <c r="AE178" s="101" t="str">
        <f t="shared" si="45"/>
        <v/>
      </c>
    </row>
    <row r="179" spans="1:31" ht="15.75">
      <c r="A179" s="62" t="str">
        <f t="shared" si="46"/>
        <v/>
      </c>
      <c r="B179" s="44"/>
      <c r="C179" s="46"/>
      <c r="D179" s="46"/>
      <c r="E179" s="50">
        <f t="shared" si="47"/>
        <v>0</v>
      </c>
      <c r="F179" s="48"/>
      <c r="G179" s="51">
        <f t="shared" si="48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9"/>
        <v>0</v>
      </c>
      <c r="U179" s="51">
        <f t="shared" si="50"/>
        <v>0</v>
      </c>
      <c r="V179" s="51">
        <f t="shared" si="51"/>
        <v>0</v>
      </c>
      <c r="W179" s="52">
        <f t="shared" si="52"/>
        <v>0</v>
      </c>
      <c r="X179" s="48"/>
      <c r="Y179" s="58">
        <f t="shared" si="43"/>
        <v>0</v>
      </c>
      <c r="Z179" s="49" t="str">
        <f t="shared" si="53"/>
        <v/>
      </c>
      <c r="AA179" s="64"/>
      <c r="AB179" s="94"/>
      <c r="AE179" s="101" t="str">
        <f t="shared" si="45"/>
        <v/>
      </c>
    </row>
    <row r="180" spans="1:31" ht="15.75">
      <c r="A180" s="62" t="str">
        <f t="shared" si="46"/>
        <v/>
      </c>
      <c r="B180" s="44"/>
      <c r="C180" s="46"/>
      <c r="D180" s="46"/>
      <c r="E180" s="50">
        <f t="shared" si="47"/>
        <v>0</v>
      </c>
      <c r="F180" s="48"/>
      <c r="G180" s="51">
        <f t="shared" si="48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9"/>
        <v>0</v>
      </c>
      <c r="U180" s="51">
        <f t="shared" si="50"/>
        <v>0</v>
      </c>
      <c r="V180" s="51">
        <f t="shared" si="51"/>
        <v>0</v>
      </c>
      <c r="W180" s="52">
        <f t="shared" si="52"/>
        <v>0</v>
      </c>
      <c r="X180" s="48"/>
      <c r="Y180" s="58">
        <f t="shared" si="43"/>
        <v>0</v>
      </c>
      <c r="Z180" s="49" t="str">
        <f t="shared" si="53"/>
        <v/>
      </c>
      <c r="AA180" s="64"/>
      <c r="AB180" s="94"/>
      <c r="AE180" s="101" t="str">
        <f t="shared" si="45"/>
        <v/>
      </c>
    </row>
    <row r="181" spans="1:31" ht="15.75">
      <c r="A181" s="62" t="str">
        <f t="shared" si="46"/>
        <v/>
      </c>
      <c r="B181" s="44"/>
      <c r="C181" s="46"/>
      <c r="D181" s="46"/>
      <c r="E181" s="50">
        <f t="shared" si="47"/>
        <v>0</v>
      </c>
      <c r="F181" s="48"/>
      <c r="G181" s="51">
        <f t="shared" si="48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9"/>
        <v>0</v>
      </c>
      <c r="U181" s="51">
        <f t="shared" si="50"/>
        <v>0</v>
      </c>
      <c r="V181" s="51">
        <f t="shared" si="51"/>
        <v>0</v>
      </c>
      <c r="W181" s="52">
        <f t="shared" si="52"/>
        <v>0</v>
      </c>
      <c r="X181" s="48"/>
      <c r="Y181" s="58">
        <f t="shared" si="43"/>
        <v>0</v>
      </c>
      <c r="Z181" s="49" t="str">
        <f t="shared" si="53"/>
        <v/>
      </c>
      <c r="AA181" s="64"/>
      <c r="AB181" s="94"/>
      <c r="AE181" s="101" t="str">
        <f t="shared" si="45"/>
        <v/>
      </c>
    </row>
    <row r="182" spans="1:31" ht="15.75">
      <c r="A182" s="62" t="str">
        <f t="shared" si="46"/>
        <v/>
      </c>
      <c r="B182" s="44"/>
      <c r="C182" s="46"/>
      <c r="D182" s="46"/>
      <c r="E182" s="50">
        <f t="shared" si="47"/>
        <v>0</v>
      </c>
      <c r="F182" s="48"/>
      <c r="G182" s="51">
        <f t="shared" si="48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9"/>
        <v>0</v>
      </c>
      <c r="U182" s="51">
        <f t="shared" si="50"/>
        <v>0</v>
      </c>
      <c r="V182" s="51">
        <f t="shared" si="51"/>
        <v>0</v>
      </c>
      <c r="W182" s="52">
        <f t="shared" si="52"/>
        <v>0</v>
      </c>
      <c r="X182" s="48"/>
      <c r="Y182" s="58">
        <f t="shared" si="43"/>
        <v>0</v>
      </c>
      <c r="Z182" s="49" t="str">
        <f t="shared" si="53"/>
        <v/>
      </c>
      <c r="AA182" s="64"/>
      <c r="AB182" s="94"/>
      <c r="AE182" s="101" t="str">
        <f t="shared" si="45"/>
        <v/>
      </c>
    </row>
    <row r="183" spans="1:31" ht="15.75">
      <c r="A183" s="62" t="str">
        <f t="shared" si="46"/>
        <v/>
      </c>
      <c r="B183" s="44"/>
      <c r="C183" s="46"/>
      <c r="D183" s="46"/>
      <c r="E183" s="50">
        <f t="shared" si="47"/>
        <v>0</v>
      </c>
      <c r="F183" s="48"/>
      <c r="G183" s="51">
        <f t="shared" si="48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9"/>
        <v>0</v>
      </c>
      <c r="U183" s="51">
        <f t="shared" si="50"/>
        <v>0</v>
      </c>
      <c r="V183" s="51">
        <f t="shared" si="51"/>
        <v>0</v>
      </c>
      <c r="W183" s="52">
        <f t="shared" si="52"/>
        <v>0</v>
      </c>
      <c r="X183" s="48"/>
      <c r="Y183" s="58">
        <f t="shared" si="43"/>
        <v>0</v>
      </c>
      <c r="Z183" s="49" t="str">
        <f t="shared" si="53"/>
        <v/>
      </c>
      <c r="AA183" s="64"/>
      <c r="AB183" s="94"/>
      <c r="AE183" s="101" t="str">
        <f t="shared" si="45"/>
        <v/>
      </c>
    </row>
    <row r="184" spans="1:31" ht="15.75">
      <c r="A184" s="62" t="str">
        <f t="shared" si="46"/>
        <v/>
      </c>
      <c r="B184" s="44"/>
      <c r="C184" s="46"/>
      <c r="D184" s="46"/>
      <c r="E184" s="50">
        <f t="shared" si="47"/>
        <v>0</v>
      </c>
      <c r="F184" s="48"/>
      <c r="G184" s="51">
        <f t="shared" si="48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9"/>
        <v>0</v>
      </c>
      <c r="U184" s="51">
        <f t="shared" si="50"/>
        <v>0</v>
      </c>
      <c r="V184" s="51">
        <f t="shared" si="51"/>
        <v>0</v>
      </c>
      <c r="W184" s="52">
        <f t="shared" si="52"/>
        <v>0</v>
      </c>
      <c r="X184" s="48"/>
      <c r="Y184" s="58">
        <f t="shared" si="43"/>
        <v>0</v>
      </c>
      <c r="Z184" s="49" t="str">
        <f t="shared" si="53"/>
        <v/>
      </c>
      <c r="AA184" s="64"/>
      <c r="AB184" s="94"/>
      <c r="AE184" s="101" t="str">
        <f t="shared" si="45"/>
        <v/>
      </c>
    </row>
    <row r="185" spans="1:31" ht="15.75">
      <c r="A185" s="62" t="str">
        <f t="shared" si="46"/>
        <v/>
      </c>
      <c r="B185" s="44"/>
      <c r="C185" s="46"/>
      <c r="D185" s="46"/>
      <c r="E185" s="50">
        <f t="shared" si="47"/>
        <v>0</v>
      </c>
      <c r="F185" s="48"/>
      <c r="G185" s="51">
        <f t="shared" si="48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9"/>
        <v>0</v>
      </c>
      <c r="U185" s="51">
        <f t="shared" si="50"/>
        <v>0</v>
      </c>
      <c r="V185" s="51">
        <f t="shared" si="51"/>
        <v>0</v>
      </c>
      <c r="W185" s="52">
        <f t="shared" si="52"/>
        <v>0</v>
      </c>
      <c r="X185" s="48"/>
      <c r="Y185" s="58">
        <f t="shared" si="43"/>
        <v>0</v>
      </c>
      <c r="Z185" s="49" t="str">
        <f t="shared" si="53"/>
        <v/>
      </c>
      <c r="AA185" s="64"/>
      <c r="AB185" s="94"/>
      <c r="AE185" s="101" t="str">
        <f t="shared" si="45"/>
        <v/>
      </c>
    </row>
    <row r="186" spans="1:31" ht="15.75">
      <c r="A186" s="62" t="str">
        <f t="shared" si="46"/>
        <v/>
      </c>
      <c r="B186" s="44"/>
      <c r="C186" s="46"/>
      <c r="D186" s="46"/>
      <c r="E186" s="50">
        <f t="shared" si="47"/>
        <v>0</v>
      </c>
      <c r="F186" s="48"/>
      <c r="G186" s="51">
        <f t="shared" si="48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9"/>
        <v>0</v>
      </c>
      <c r="U186" s="51">
        <f t="shared" si="50"/>
        <v>0</v>
      </c>
      <c r="V186" s="51">
        <f t="shared" si="51"/>
        <v>0</v>
      </c>
      <c r="W186" s="52">
        <f t="shared" si="52"/>
        <v>0</v>
      </c>
      <c r="X186" s="48"/>
      <c r="Y186" s="58">
        <f t="shared" si="43"/>
        <v>0</v>
      </c>
      <c r="Z186" s="49" t="str">
        <f t="shared" si="53"/>
        <v/>
      </c>
      <c r="AA186" s="64"/>
      <c r="AB186" s="94"/>
      <c r="AE186" s="101" t="str">
        <f t="shared" si="45"/>
        <v/>
      </c>
    </row>
    <row r="187" spans="1:31" ht="15.75">
      <c r="A187" s="62" t="str">
        <f t="shared" si="46"/>
        <v/>
      </c>
      <c r="B187" s="44"/>
      <c r="C187" s="46"/>
      <c r="D187" s="46"/>
      <c r="E187" s="50">
        <f t="shared" si="47"/>
        <v>0</v>
      </c>
      <c r="F187" s="48"/>
      <c r="G187" s="51">
        <f t="shared" si="48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9"/>
        <v>0</v>
      </c>
      <c r="U187" s="51">
        <f t="shared" si="50"/>
        <v>0</v>
      </c>
      <c r="V187" s="51">
        <f t="shared" si="51"/>
        <v>0</v>
      </c>
      <c r="W187" s="52">
        <f t="shared" si="52"/>
        <v>0</v>
      </c>
      <c r="X187" s="48"/>
      <c r="Y187" s="58">
        <f t="shared" si="43"/>
        <v>0</v>
      </c>
      <c r="Z187" s="49" t="str">
        <f t="shared" si="53"/>
        <v/>
      </c>
      <c r="AA187" s="64"/>
      <c r="AB187" s="94"/>
      <c r="AE187" s="101" t="str">
        <f t="shared" si="45"/>
        <v/>
      </c>
    </row>
    <row r="188" spans="1:31" ht="15.75">
      <c r="A188" s="62" t="str">
        <f t="shared" si="46"/>
        <v/>
      </c>
      <c r="B188" s="44"/>
      <c r="C188" s="46"/>
      <c r="D188" s="46"/>
      <c r="E188" s="50">
        <f t="shared" si="47"/>
        <v>0</v>
      </c>
      <c r="F188" s="48"/>
      <c r="G188" s="51">
        <f t="shared" si="48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9"/>
        <v>0</v>
      </c>
      <c r="U188" s="51">
        <f t="shared" si="50"/>
        <v>0</v>
      </c>
      <c r="V188" s="51">
        <f t="shared" si="51"/>
        <v>0</v>
      </c>
      <c r="W188" s="52">
        <f t="shared" si="52"/>
        <v>0</v>
      </c>
      <c r="X188" s="48"/>
      <c r="Y188" s="58">
        <f t="shared" si="43"/>
        <v>0</v>
      </c>
      <c r="Z188" s="49" t="str">
        <f t="shared" si="53"/>
        <v/>
      </c>
      <c r="AA188" s="64"/>
      <c r="AB188" s="94"/>
      <c r="AE188" s="101" t="str">
        <f t="shared" si="45"/>
        <v/>
      </c>
    </row>
    <row r="189" spans="1:31" ht="15.75">
      <c r="A189" s="62" t="str">
        <f t="shared" si="46"/>
        <v/>
      </c>
      <c r="B189" s="44"/>
      <c r="C189" s="46"/>
      <c r="D189" s="46"/>
      <c r="E189" s="50">
        <f t="shared" si="47"/>
        <v>0</v>
      </c>
      <c r="F189" s="48"/>
      <c r="G189" s="51">
        <f t="shared" si="48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9"/>
        <v>0</v>
      </c>
      <c r="U189" s="51">
        <f t="shared" si="50"/>
        <v>0</v>
      </c>
      <c r="V189" s="51">
        <f t="shared" si="51"/>
        <v>0</v>
      </c>
      <c r="W189" s="52">
        <f t="shared" si="52"/>
        <v>0</v>
      </c>
      <c r="X189" s="48"/>
      <c r="Y189" s="58">
        <f t="shared" si="43"/>
        <v>0</v>
      </c>
      <c r="Z189" s="49" t="str">
        <f t="shared" si="53"/>
        <v/>
      </c>
      <c r="AA189" s="64"/>
      <c r="AB189" s="94"/>
      <c r="AE189" s="101" t="str">
        <f t="shared" si="45"/>
        <v/>
      </c>
    </row>
    <row r="190" spans="1:31" ht="15.75">
      <c r="A190" s="62" t="str">
        <f t="shared" si="46"/>
        <v/>
      </c>
      <c r="B190" s="44"/>
      <c r="C190" s="46"/>
      <c r="D190" s="46"/>
      <c r="E190" s="50">
        <f t="shared" si="47"/>
        <v>0</v>
      </c>
      <c r="F190" s="48"/>
      <c r="G190" s="51">
        <f t="shared" si="48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9"/>
        <v>0</v>
      </c>
      <c r="U190" s="51">
        <f t="shared" si="50"/>
        <v>0</v>
      </c>
      <c r="V190" s="51">
        <f t="shared" si="51"/>
        <v>0</v>
      </c>
      <c r="W190" s="52">
        <f t="shared" si="52"/>
        <v>0</v>
      </c>
      <c r="X190" s="48"/>
      <c r="Y190" s="58">
        <f t="shared" si="43"/>
        <v>0</v>
      </c>
      <c r="Z190" s="49" t="str">
        <f t="shared" si="53"/>
        <v/>
      </c>
      <c r="AA190" s="64"/>
      <c r="AB190" s="94"/>
      <c r="AE190" s="101" t="str">
        <f t="shared" si="45"/>
        <v/>
      </c>
    </row>
    <row r="191" spans="1:31" ht="15.75">
      <c r="A191" s="62" t="str">
        <f t="shared" si="46"/>
        <v/>
      </c>
      <c r="B191" s="44"/>
      <c r="C191" s="46"/>
      <c r="D191" s="46"/>
      <c r="E191" s="50">
        <f t="shared" si="47"/>
        <v>0</v>
      </c>
      <c r="F191" s="48"/>
      <c r="G191" s="51">
        <f t="shared" si="48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9"/>
        <v>0</v>
      </c>
      <c r="U191" s="51">
        <f t="shared" si="50"/>
        <v>0</v>
      </c>
      <c r="V191" s="51">
        <f t="shared" si="51"/>
        <v>0</v>
      </c>
      <c r="W191" s="52">
        <f t="shared" si="52"/>
        <v>0</v>
      </c>
      <c r="X191" s="48"/>
      <c r="Y191" s="58">
        <f t="shared" si="43"/>
        <v>0</v>
      </c>
      <c r="Z191" s="49" t="str">
        <f t="shared" si="53"/>
        <v/>
      </c>
      <c r="AA191" s="64"/>
      <c r="AB191" s="94"/>
      <c r="AE191" s="101" t="str">
        <f t="shared" si="45"/>
        <v/>
      </c>
    </row>
    <row r="192" spans="1:31" ht="15.75">
      <c r="A192" s="62" t="str">
        <f t="shared" si="46"/>
        <v/>
      </c>
      <c r="B192" s="44"/>
      <c r="C192" s="46"/>
      <c r="D192" s="46"/>
      <c r="E192" s="50">
        <f t="shared" si="47"/>
        <v>0</v>
      </c>
      <c r="F192" s="48"/>
      <c r="G192" s="51">
        <f t="shared" si="48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9"/>
        <v>0</v>
      </c>
      <c r="U192" s="51">
        <f t="shared" si="50"/>
        <v>0</v>
      </c>
      <c r="V192" s="51">
        <f t="shared" si="51"/>
        <v>0</v>
      </c>
      <c r="W192" s="52">
        <f t="shared" si="52"/>
        <v>0</v>
      </c>
      <c r="X192" s="48"/>
      <c r="Y192" s="58">
        <f t="shared" si="43"/>
        <v>0</v>
      </c>
      <c r="Z192" s="49" t="str">
        <f t="shared" si="53"/>
        <v/>
      </c>
      <c r="AA192" s="64"/>
      <c r="AB192" s="94"/>
      <c r="AE192" s="101" t="str">
        <f t="shared" si="45"/>
        <v/>
      </c>
    </row>
    <row r="193" spans="1:31" ht="15.75">
      <c r="A193" s="62" t="str">
        <f t="shared" si="46"/>
        <v/>
      </c>
      <c r="B193" s="44"/>
      <c r="C193" s="46"/>
      <c r="D193" s="46"/>
      <c r="E193" s="50">
        <f t="shared" si="47"/>
        <v>0</v>
      </c>
      <c r="F193" s="48"/>
      <c r="G193" s="51">
        <f t="shared" si="48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9"/>
        <v>0</v>
      </c>
      <c r="U193" s="51">
        <f t="shared" si="50"/>
        <v>0</v>
      </c>
      <c r="V193" s="51">
        <f t="shared" si="51"/>
        <v>0</v>
      </c>
      <c r="W193" s="52">
        <f t="shared" si="52"/>
        <v>0</v>
      </c>
      <c r="X193" s="48"/>
      <c r="Y193" s="58">
        <f t="shared" si="43"/>
        <v>0</v>
      </c>
      <c r="Z193" s="49" t="str">
        <f t="shared" si="53"/>
        <v/>
      </c>
      <c r="AA193" s="64"/>
      <c r="AB193" s="94"/>
      <c r="AE193" s="101" t="str">
        <f t="shared" si="45"/>
        <v/>
      </c>
    </row>
    <row r="194" spans="1:31" ht="15.75">
      <c r="A194" s="62" t="str">
        <f t="shared" si="46"/>
        <v/>
      </c>
      <c r="B194" s="44"/>
      <c r="C194" s="46"/>
      <c r="D194" s="46"/>
      <c r="E194" s="50">
        <f t="shared" si="47"/>
        <v>0</v>
      </c>
      <c r="F194" s="48"/>
      <c r="G194" s="51">
        <f t="shared" si="48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9"/>
        <v>0</v>
      </c>
      <c r="U194" s="51">
        <f t="shared" si="50"/>
        <v>0</v>
      </c>
      <c r="V194" s="51">
        <f t="shared" si="51"/>
        <v>0</v>
      </c>
      <c r="W194" s="52">
        <f t="shared" si="52"/>
        <v>0</v>
      </c>
      <c r="X194" s="48"/>
      <c r="Y194" s="58">
        <f t="shared" si="43"/>
        <v>0</v>
      </c>
      <c r="Z194" s="49" t="str">
        <f t="shared" si="53"/>
        <v/>
      </c>
      <c r="AA194" s="64"/>
      <c r="AB194" s="94"/>
      <c r="AE194" s="101" t="str">
        <f t="shared" si="45"/>
        <v/>
      </c>
    </row>
    <row r="195" spans="1:31" ht="15.75">
      <c r="A195" s="62" t="str">
        <f t="shared" si="46"/>
        <v/>
      </c>
      <c r="B195" s="44"/>
      <c r="C195" s="46"/>
      <c r="D195" s="46"/>
      <c r="E195" s="50">
        <f t="shared" si="47"/>
        <v>0</v>
      </c>
      <c r="F195" s="48"/>
      <c r="G195" s="51">
        <f t="shared" si="48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9"/>
        <v>0</v>
      </c>
      <c r="U195" s="51">
        <f t="shared" si="50"/>
        <v>0</v>
      </c>
      <c r="V195" s="51">
        <f t="shared" si="51"/>
        <v>0</v>
      </c>
      <c r="W195" s="52">
        <f t="shared" si="52"/>
        <v>0</v>
      </c>
      <c r="X195" s="48"/>
      <c r="Y195" s="58">
        <f t="shared" si="43"/>
        <v>0</v>
      </c>
      <c r="Z195" s="49" t="str">
        <f t="shared" si="53"/>
        <v/>
      </c>
      <c r="AA195" s="64"/>
      <c r="AB195" s="94"/>
      <c r="AE195" s="101" t="str">
        <f t="shared" si="45"/>
        <v/>
      </c>
    </row>
    <row r="196" spans="1:31" ht="15.75">
      <c r="A196" s="62" t="str">
        <f t="shared" ref="A196:A203" si="54">IF(B196="","","LOC-"&amp;TEXT(ROW()-5,"000"))</f>
        <v/>
      </c>
      <c r="B196" s="44"/>
      <c r="C196" s="46"/>
      <c r="D196" s="46"/>
      <c r="E196" s="50">
        <f t="shared" ref="E196:E203" si="55">IF(OR(B196="",C196="",D196=""),0,MAX(0,D196-C196))</f>
        <v>0</v>
      </c>
      <c r="F196" s="48"/>
      <c r="G196" s="51">
        <f t="shared" ref="G196:G203" si="56">IF(OR(B196="",E196=0,F196=""),0,E196*F196)</f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ref="T196:T203" si="57">IF(OR(B196="",E196=0),0,S196/E196)</f>
        <v>0</v>
      </c>
      <c r="U196" s="51">
        <f t="shared" ref="U196:U203" si="58">IF(B196="",0,G196-S196)</f>
        <v>0</v>
      </c>
      <c r="V196" s="51">
        <f t="shared" ref="V196:V203" si="59">IF(OR(B196="",E196=0),0,U196/E196)</f>
        <v>0</v>
      </c>
      <c r="W196" s="52">
        <f t="shared" ref="W196:W203" si="60">IF(OR(B196="",G196=0),0,U196/G196)</f>
        <v>0</v>
      </c>
      <c r="X196" s="48"/>
      <c r="Y196" s="58">
        <f t="shared" si="43"/>
        <v>0</v>
      </c>
      <c r="Z196" s="49" t="str">
        <f t="shared" si="53"/>
        <v/>
      </c>
      <c r="AA196" s="64"/>
      <c r="AB196" s="94"/>
      <c r="AE196" s="101" t="str">
        <f t="shared" si="45"/>
        <v/>
      </c>
    </row>
    <row r="197" spans="1:31" ht="15.75">
      <c r="A197" s="62" t="str">
        <f t="shared" si="54"/>
        <v/>
      </c>
      <c r="B197" s="44"/>
      <c r="C197" s="46"/>
      <c r="D197" s="46"/>
      <c r="E197" s="50">
        <f t="shared" si="55"/>
        <v>0</v>
      </c>
      <c r="F197" s="48"/>
      <c r="G197" s="51">
        <f t="shared" si="56"/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si="57"/>
        <v>0</v>
      </c>
      <c r="U197" s="51">
        <f t="shared" si="58"/>
        <v>0</v>
      </c>
      <c r="V197" s="51">
        <f t="shared" si="59"/>
        <v>0</v>
      </c>
      <c r="W197" s="52">
        <f t="shared" si="60"/>
        <v>0</v>
      </c>
      <c r="X197" s="48"/>
      <c r="Y197" s="58">
        <f t="shared" ref="Y197:Y203" si="61">IF(B197="",0,IFERROR(MAX(0,G197-X197),G197))</f>
        <v>0</v>
      </c>
      <c r="Z197" s="49" t="str">
        <f t="shared" si="53"/>
        <v/>
      </c>
      <c r="AA197" s="64"/>
      <c r="AB197" s="94"/>
      <c r="AE197" s="101" t="str">
        <f t="shared" si="45"/>
        <v/>
      </c>
    </row>
    <row r="198" spans="1:31" ht="15.75">
      <c r="A198" s="62" t="str">
        <f t="shared" si="54"/>
        <v/>
      </c>
      <c r="B198" s="44"/>
      <c r="C198" s="46"/>
      <c r="D198" s="46"/>
      <c r="E198" s="50">
        <f t="shared" si="55"/>
        <v>0</v>
      </c>
      <c r="F198" s="48"/>
      <c r="G198" s="51">
        <f t="shared" si="56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7"/>
        <v>0</v>
      </c>
      <c r="U198" s="51">
        <f t="shared" si="58"/>
        <v>0</v>
      </c>
      <c r="V198" s="51">
        <f t="shared" si="59"/>
        <v>0</v>
      </c>
      <c r="W198" s="52">
        <f t="shared" si="60"/>
        <v>0</v>
      </c>
      <c r="X198" s="48"/>
      <c r="Y198" s="58">
        <f t="shared" si="61"/>
        <v>0</v>
      </c>
      <c r="Z198" s="49" t="str">
        <f t="shared" ref="Z198:Z203" si="62">IF(B198="","",IF(COUNTIFS($C$6:$C$203,"&lt;"&amp;D198,$D$6:$D$203,"&gt;"&amp;C198,$I$6:$I$203,"&lt;&gt;Cancelada",$I$6:$I$203,"&lt;&gt;Consulta",$AB$6:$AB$203,$AB198)&gt;1,"CONFLITO","OK"))</f>
        <v/>
      </c>
      <c r="AA198" s="64"/>
      <c r="AB198" s="94"/>
      <c r="AE198" s="101" t="str">
        <f t="shared" si="45"/>
        <v/>
      </c>
    </row>
    <row r="199" spans="1:31" ht="15.75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8">
        <f t="shared" si="61"/>
        <v>0</v>
      </c>
      <c r="Z199" s="49" t="str">
        <f t="shared" si="62"/>
        <v/>
      </c>
      <c r="AA199" s="64"/>
      <c r="AB199" s="94"/>
      <c r="AE199" s="101" t="str">
        <f t="shared" ref="AE199:AE203" si="63">IF((AC199+AD199)=0,"",AC199+AD199)</f>
        <v/>
      </c>
    </row>
    <row r="200" spans="1:31" ht="15.75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8">
        <f t="shared" si="61"/>
        <v>0</v>
      </c>
      <c r="Z200" s="49" t="str">
        <f t="shared" si="62"/>
        <v/>
      </c>
      <c r="AA200" s="64"/>
      <c r="AB200" s="94"/>
      <c r="AE200" s="101" t="str">
        <f t="shared" si="63"/>
        <v/>
      </c>
    </row>
    <row r="201" spans="1:31" ht="15.75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8">
        <f t="shared" si="61"/>
        <v>0</v>
      </c>
      <c r="Z201" s="49" t="str">
        <f t="shared" si="62"/>
        <v/>
      </c>
      <c r="AA201" s="64"/>
      <c r="AB201" s="94"/>
      <c r="AE201" s="101" t="str">
        <f t="shared" si="63"/>
        <v/>
      </c>
    </row>
    <row r="202" spans="1:31" ht="15.75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8">
        <f t="shared" si="61"/>
        <v>0</v>
      </c>
      <c r="Z202" s="49" t="str">
        <f t="shared" si="62"/>
        <v/>
      </c>
      <c r="AA202" s="64"/>
      <c r="AB202" s="94"/>
      <c r="AE202" s="101" t="str">
        <f t="shared" si="63"/>
        <v/>
      </c>
    </row>
    <row r="203" spans="1:31" ht="15.75">
      <c r="A203" s="65" t="str">
        <f t="shared" si="54"/>
        <v/>
      </c>
      <c r="B203" s="66"/>
      <c r="C203" s="67"/>
      <c r="D203" s="67"/>
      <c r="E203" s="68">
        <f t="shared" si="55"/>
        <v>0</v>
      </c>
      <c r="F203" s="69"/>
      <c r="G203" s="70">
        <f t="shared" si="56"/>
        <v>0</v>
      </c>
      <c r="H203" s="43"/>
      <c r="I203" s="66"/>
      <c r="J203" s="54"/>
      <c r="K203" s="69"/>
      <c r="L203" s="69"/>
      <c r="M203" s="69"/>
      <c r="N203" s="69"/>
      <c r="O203" s="69"/>
      <c r="P203" s="69"/>
      <c r="Q203" s="69"/>
      <c r="R203" s="69"/>
      <c r="S203" s="58">
        <f>IF(B203="",0,SUM(K203:R203)+SUMIFS('DESPESAS CASA'!$D$6:$D$305,'DESPESAS CASA'!$E$6:$E$305,A203))-P203</f>
        <v>0</v>
      </c>
      <c r="T203" s="70">
        <f t="shared" si="57"/>
        <v>0</v>
      </c>
      <c r="U203" s="70">
        <f t="shared" si="58"/>
        <v>0</v>
      </c>
      <c r="V203" s="70">
        <f t="shared" si="59"/>
        <v>0</v>
      </c>
      <c r="W203" s="71">
        <f t="shared" si="60"/>
        <v>0</v>
      </c>
      <c r="X203" s="69"/>
      <c r="Y203" s="58">
        <f t="shared" si="61"/>
        <v>0</v>
      </c>
      <c r="Z203" s="72" t="str">
        <f t="shared" si="62"/>
        <v/>
      </c>
      <c r="AA203" s="73"/>
      <c r="AB203" s="94"/>
      <c r="AE203" s="101" t="str">
        <f t="shared" si="63"/>
        <v/>
      </c>
    </row>
    <row r="204" spans="1:31" ht="15.75">
      <c r="AE204" s="101"/>
    </row>
    <row r="205" spans="1:31" ht="15.75">
      <c r="AE205" s="101"/>
    </row>
    <row r="206" spans="1:31" ht="15.75">
      <c r="AE206" s="101"/>
    </row>
    <row r="207" spans="1:31" ht="15.75">
      <c r="AE207" s="101"/>
    </row>
    <row r="208" spans="1:31" ht="15.75">
      <c r="AE208" s="101"/>
    </row>
    <row r="209" spans="31:31" ht="15.75">
      <c r="AE209" s="101"/>
    </row>
    <row r="210" spans="31:31" ht="15.75">
      <c r="AE210" s="101"/>
    </row>
    <row r="211" spans="31:31" ht="15.75">
      <c r="AE211" s="101"/>
    </row>
    <row r="212" spans="31:31" ht="15.75">
      <c r="AE212" s="101"/>
    </row>
    <row r="213" spans="31:31" ht="15.75">
      <c r="AE213" s="101"/>
    </row>
    <row r="214" spans="31:31" ht="15.75">
      <c r="AE214" s="101"/>
    </row>
    <row r="215" spans="31:31" ht="15.75">
      <c r="AE215" s="101"/>
    </row>
    <row r="216" spans="31:31" ht="15.75">
      <c r="AE216" s="101"/>
    </row>
    <row r="217" spans="31:31" ht="15.75">
      <c r="AE217" s="101"/>
    </row>
    <row r="218" spans="31:31" ht="15.75">
      <c r="AE218" s="101"/>
    </row>
    <row r="219" spans="31:31" ht="15.75">
      <c r="AE219" s="101"/>
    </row>
    <row r="220" spans="31:31" ht="15.75">
      <c r="AE220" s="101"/>
    </row>
    <row r="221" spans="31:31" ht="15.75">
      <c r="AE221" s="101"/>
    </row>
    <row r="222" spans="31:31" ht="15.75">
      <c r="AE222" s="101"/>
    </row>
    <row r="223" spans="31:31" ht="15.75">
      <c r="AE223" s="101"/>
    </row>
    <row r="224" spans="31:31" ht="15.75">
      <c r="AE224" s="101"/>
    </row>
    <row r="225" spans="31:31" ht="15.75">
      <c r="AE225" s="101"/>
    </row>
    <row r="226" spans="31:31" ht="15.75">
      <c r="AE226" s="101"/>
    </row>
    <row r="227" spans="31:31" ht="15.75">
      <c r="AE227" s="101"/>
    </row>
    <row r="228" spans="31:31" ht="15.75">
      <c r="AE228" s="101"/>
    </row>
    <row r="229" spans="31:31" ht="15.75">
      <c r="AE229" s="101"/>
    </row>
    <row r="230" spans="31:31" ht="15.75">
      <c r="AE230" s="101"/>
    </row>
    <row r="231" spans="31:31" ht="15.75">
      <c r="AE231" s="101"/>
    </row>
    <row r="232" spans="31:31" ht="15.75">
      <c r="AE232" s="101"/>
    </row>
    <row r="233" spans="31:31" ht="15.75">
      <c r="AE233" s="101"/>
    </row>
    <row r="234" spans="31:31" ht="15.75">
      <c r="AE234" s="101"/>
    </row>
    <row r="235" spans="31:31" ht="15.75">
      <c r="AE235" s="101"/>
    </row>
    <row r="236" spans="31:31" ht="15.75">
      <c r="AE236" s="101"/>
    </row>
    <row r="237" spans="31:31" ht="15.75">
      <c r="AE237" s="101"/>
    </row>
    <row r="238" spans="31:31" ht="15.75">
      <c r="AE238" s="101"/>
    </row>
    <row r="239" spans="31:31" ht="15.75">
      <c r="AE239" s="101"/>
    </row>
    <row r="240" spans="31:31" ht="15.75">
      <c r="AE240" s="101"/>
    </row>
    <row r="241" spans="31:31" ht="15.75">
      <c r="AE241" s="101"/>
    </row>
    <row r="242" spans="31:31" ht="15.75">
      <c r="AE242" s="101"/>
    </row>
  </sheetData>
  <mergeCells count="3">
    <mergeCell ref="A1:AA1"/>
    <mergeCell ref="A3:AA3"/>
    <mergeCell ref="AG4:AH4"/>
  </mergeCells>
  <conditionalFormatting sqref="A6:J1000">
    <cfRule type="expression" dxfId="19" priority="8">
      <formula>$J6="Cortesia"</formula>
    </cfRule>
  </conditionalFormatting>
  <conditionalFormatting sqref="U6:U63">
    <cfRule type="cellIs" dxfId="18" priority="7" operator="lessThan">
      <formula>0</formula>
    </cfRule>
  </conditionalFormatting>
  <conditionalFormatting sqref="Y6:Y203">
    <cfRule type="expression" dxfId="17" priority="6">
      <formula>Y6&gt;0</formula>
    </cfRule>
  </conditionalFormatting>
  <conditionalFormatting sqref="Z6:Z63">
    <cfRule type="expression" dxfId="16" priority="4">
      <formula>Z6="CONFLITO"</formula>
    </cfRule>
    <cfRule type="expression" dxfId="15" priority="5">
      <formula>Z6="OK"</formula>
    </cfRule>
  </conditionalFormatting>
  <conditionalFormatting sqref="A6:J1000">
    <cfRule type="expression" dxfId="10" priority="9" stopIfTrue="1">
      <formula>AND(ISNUMBER($D6),$D6&lt;TODAY())</formula>
    </cfRule>
  </conditionalFormatting>
  <conditionalFormatting sqref="A6:J1000">
    <cfRule type="expression" dxfId="14" priority="10">
      <formula>AND(ISNUMBER($D6),$D6&lt;TODAY())</formula>
    </cfRule>
  </conditionalFormatting>
  <conditionalFormatting sqref="AG6:AG1048576">
    <cfRule type="cellIs" dxfId="13" priority="3" operator="greaterThan">
      <formula>6</formula>
    </cfRule>
  </conditionalFormatting>
  <conditionalFormatting sqref="AH6">
    <cfRule type="cellIs" dxfId="12" priority="2" operator="greaterThan">
      <formula>6</formula>
    </cfRule>
  </conditionalFormatting>
  <conditionalFormatting sqref="AE6:AE1000">
    <cfRule type="expression" dxfId="11" priority="11">
      <formula>AND(ISNUMBER($AE6),$AE6&gt;6)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3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3" xr:uid="{00000000-0002-0000-0200-000002000000}">
      <formula1>OR(C6="",SUMPRODUCT(($C$6:$C$203&lt;=C6)*($D$6:$D$203&gt;=C6)*($I$6:$I$203&lt;&gt;"Cancelada")*($I$6:$I$203&lt;&gt;"Consulta")*(IF($AB$6:$AB$203="","Casa Cinza",$AB$6:$AB$203)=IF($AB6="","Casa Cinza",$AB6))*(ROW($C$6:$C$203)&lt;&gt;ROW()))=0)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3" xr:uid="{00000000-0002-0000-0200-000003000000}">
      <formula1>OR(D6="",AND(C6&lt;&gt;"",D6&gt;C6,SUMPRODUCT(($C$6:$C$203&lt;=D6)*($D$6:$D$203&gt;=C6)*($I$6:$I$203&lt;&gt;"Cancelada")*($I$6:$I$203&lt;&gt;"Consulta")*(IF($AB$6:$AB$203="","Casa Cinza",$AB$6:$AB$203)=IF($AB6="","Casa Cinza",$AB6))*(ROW($C$6:$C$203)&lt;&gt;ROW()))=0))</formula1>
    </dataValidation>
    <dataValidation type="list" sqref="J6:J203" xr:uid="{00000000-0002-0000-0200-000004000000}">
      <formula1>"Direto,Airbnb,Booking,Imobiliária,Indicação,Cortesia,Outro"</formula1>
    </dataValidation>
    <dataValidation type="list" sqref="AB6:AB203" xr:uid="{00000000-0002-0000-0200-000005000000}">
      <formula1>"Casa Cinza,Casa Laranja"</formula1>
    </dataValidation>
    <dataValidation type="list" sqref="H10:H203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2" customHeight="1">
      <c r="A3" s="99" t="s">
        <v>92</v>
      </c>
      <c r="B3" s="99"/>
      <c r="C3" s="99"/>
      <c r="D3" s="99"/>
      <c r="E3" s="99"/>
      <c r="F3" s="99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2026-10-06T21:44:13Z</dcterms:modified>
</cp:coreProperties>
</file>