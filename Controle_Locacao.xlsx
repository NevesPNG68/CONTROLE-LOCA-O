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nato.Neves\Documents\TRABALHOS 2025\LOCAÇÃO PRAIA\"/>
    </mc:Choice>
  </mc:AlternateContent>
  <xr:revisionPtr revIDLastSave="0" documentId="13_ncr:1_{911C9A2D-3C9D-4E82-9740-D77F14B1CEEC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PAINEL" sheetId="1" r:id="rId1"/>
    <sheet name="AGENDA" sheetId="2" r:id="rId2"/>
    <sheet name="RESERVAS" sheetId="3" r:id="rId3"/>
    <sheet name="DESPESAS CASA" sheetId="4" r:id="rId4"/>
    <sheet name="LISTAS" sheetId="5" r:id="rId5"/>
    <sheet name="PGT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G17" i="3" s="1"/>
  <c r="X6" i="3"/>
  <c r="P19" i="6"/>
  <c r="P18" i="6"/>
  <c r="P17" i="6"/>
  <c r="L18" i="6"/>
  <c r="E3" i="6" a="1"/>
  <c r="E3" i="6" s="1"/>
  <c r="L19" i="6"/>
  <c r="J19" i="6"/>
  <c r="F19" i="6"/>
  <c r="M19" i="6" s="1"/>
  <c r="F18" i="6"/>
  <c r="K18" i="6" s="1"/>
  <c r="F17" i="6"/>
  <c r="I17" i="6" s="1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6" i="3"/>
  <c r="Z203" i="3"/>
  <c r="Y203" i="3"/>
  <c r="U203" i="3"/>
  <c r="S203" i="3"/>
  <c r="E203" i="3"/>
  <c r="V203" i="3" s="1"/>
  <c r="A203" i="3"/>
  <c r="Z202" i="3"/>
  <c r="Y202" i="3"/>
  <c r="U202" i="3"/>
  <c r="S202" i="3"/>
  <c r="E202" i="3"/>
  <c r="G202" i="3" s="1"/>
  <c r="W202" i="3" s="1"/>
  <c r="A202" i="3"/>
  <c r="Z201" i="3"/>
  <c r="Y201" i="3"/>
  <c r="U201" i="3"/>
  <c r="S201" i="3"/>
  <c r="E201" i="3"/>
  <c r="V201" i="3" s="1"/>
  <c r="A201" i="3"/>
  <c r="Z200" i="3"/>
  <c r="Y200" i="3"/>
  <c r="U200" i="3"/>
  <c r="S200" i="3"/>
  <c r="E200" i="3"/>
  <c r="A200" i="3"/>
  <c r="Z199" i="3"/>
  <c r="Y199" i="3"/>
  <c r="U199" i="3"/>
  <c r="S199" i="3"/>
  <c r="E199" i="3"/>
  <c r="V199" i="3" s="1"/>
  <c r="A199" i="3"/>
  <c r="Z198" i="3"/>
  <c r="Y198" i="3"/>
  <c r="U198" i="3"/>
  <c r="S198" i="3"/>
  <c r="E198" i="3"/>
  <c r="G198" i="3" s="1"/>
  <c r="W198" i="3" s="1"/>
  <c r="A198" i="3"/>
  <c r="Z197" i="3"/>
  <c r="Y197" i="3"/>
  <c r="U197" i="3"/>
  <c r="S197" i="3"/>
  <c r="E197" i="3"/>
  <c r="V197" i="3" s="1"/>
  <c r="A197" i="3"/>
  <c r="Z196" i="3"/>
  <c r="Y196" i="3"/>
  <c r="U196" i="3"/>
  <c r="S196" i="3"/>
  <c r="E196" i="3"/>
  <c r="A196" i="3"/>
  <c r="Z195" i="3"/>
  <c r="Y195" i="3"/>
  <c r="U195" i="3"/>
  <c r="S195" i="3"/>
  <c r="E195" i="3"/>
  <c r="V195" i="3" s="1"/>
  <c r="A195" i="3"/>
  <c r="Z194" i="3"/>
  <c r="Y194" i="3"/>
  <c r="U194" i="3"/>
  <c r="S194" i="3"/>
  <c r="E194" i="3"/>
  <c r="G194" i="3" s="1"/>
  <c r="W194" i="3" s="1"/>
  <c r="A194" i="3"/>
  <c r="Z193" i="3"/>
  <c r="Y193" i="3"/>
  <c r="U193" i="3"/>
  <c r="S193" i="3"/>
  <c r="E193" i="3"/>
  <c r="V193" i="3" s="1"/>
  <c r="A193" i="3"/>
  <c r="Z192" i="3"/>
  <c r="Y192" i="3"/>
  <c r="U192" i="3"/>
  <c r="S192" i="3"/>
  <c r="E192" i="3"/>
  <c r="A192" i="3"/>
  <c r="Z191" i="3"/>
  <c r="Y191" i="3"/>
  <c r="U191" i="3"/>
  <c r="S191" i="3"/>
  <c r="E191" i="3"/>
  <c r="V191" i="3" s="1"/>
  <c r="A191" i="3"/>
  <c r="Z190" i="3"/>
  <c r="Y190" i="3"/>
  <c r="U190" i="3"/>
  <c r="S190" i="3"/>
  <c r="E190" i="3"/>
  <c r="G190" i="3" s="1"/>
  <c r="W190" i="3" s="1"/>
  <c r="A190" i="3"/>
  <c r="Z189" i="3"/>
  <c r="Y189" i="3"/>
  <c r="U189" i="3"/>
  <c r="S189" i="3"/>
  <c r="E189" i="3"/>
  <c r="A189" i="3"/>
  <c r="Z188" i="3"/>
  <c r="Y188" i="3"/>
  <c r="U188" i="3"/>
  <c r="S188" i="3"/>
  <c r="E188" i="3"/>
  <c r="A188" i="3"/>
  <c r="Z187" i="3"/>
  <c r="Y187" i="3"/>
  <c r="V187" i="3"/>
  <c r="U187" i="3"/>
  <c r="S187" i="3"/>
  <c r="E187" i="3"/>
  <c r="G187" i="3" s="1"/>
  <c r="W187" i="3" s="1"/>
  <c r="A187" i="3"/>
  <c r="Z186" i="3"/>
  <c r="Y186" i="3"/>
  <c r="U186" i="3"/>
  <c r="S186" i="3"/>
  <c r="E186" i="3"/>
  <c r="T186" i="3" s="1"/>
  <c r="A186" i="3"/>
  <c r="Z185" i="3"/>
  <c r="Y185" i="3"/>
  <c r="V185" i="3"/>
  <c r="U185" i="3"/>
  <c r="S185" i="3"/>
  <c r="E185" i="3"/>
  <c r="A185" i="3"/>
  <c r="Z184" i="3"/>
  <c r="Y184" i="3"/>
  <c r="U184" i="3"/>
  <c r="S184" i="3"/>
  <c r="E184" i="3"/>
  <c r="A184" i="3"/>
  <c r="Z183" i="3"/>
  <c r="Y183" i="3"/>
  <c r="U183" i="3"/>
  <c r="S183" i="3"/>
  <c r="E183" i="3"/>
  <c r="G183" i="3" s="1"/>
  <c r="W183" i="3" s="1"/>
  <c r="A183" i="3"/>
  <c r="Z182" i="3"/>
  <c r="Y182" i="3"/>
  <c r="U182" i="3"/>
  <c r="S182" i="3"/>
  <c r="E182" i="3"/>
  <c r="V182" i="3" s="1"/>
  <c r="A182" i="3"/>
  <c r="Z181" i="3"/>
  <c r="Y181" i="3"/>
  <c r="U181" i="3"/>
  <c r="S181" i="3"/>
  <c r="E181" i="3"/>
  <c r="A181" i="3"/>
  <c r="Z180" i="3"/>
  <c r="Y180" i="3"/>
  <c r="U180" i="3"/>
  <c r="S180" i="3"/>
  <c r="E180" i="3"/>
  <c r="A180" i="3"/>
  <c r="Z179" i="3"/>
  <c r="Y179" i="3"/>
  <c r="U179" i="3"/>
  <c r="S179" i="3"/>
  <c r="E179" i="3"/>
  <c r="V179" i="3" s="1"/>
  <c r="A179" i="3"/>
  <c r="Z178" i="3"/>
  <c r="Y178" i="3"/>
  <c r="U178" i="3"/>
  <c r="S178" i="3"/>
  <c r="E178" i="3"/>
  <c r="V178" i="3" s="1"/>
  <c r="A178" i="3"/>
  <c r="Z177" i="3"/>
  <c r="Y177" i="3"/>
  <c r="U177" i="3"/>
  <c r="S177" i="3"/>
  <c r="E177" i="3"/>
  <c r="A177" i="3"/>
  <c r="Z176" i="3"/>
  <c r="Y176" i="3"/>
  <c r="U176" i="3"/>
  <c r="S176" i="3"/>
  <c r="E176" i="3"/>
  <c r="A176" i="3"/>
  <c r="Z175" i="3"/>
  <c r="Y175" i="3"/>
  <c r="U175" i="3"/>
  <c r="S175" i="3"/>
  <c r="E175" i="3"/>
  <c r="V175" i="3" s="1"/>
  <c r="A175" i="3"/>
  <c r="Z174" i="3"/>
  <c r="Y174" i="3"/>
  <c r="U174" i="3"/>
  <c r="S174" i="3"/>
  <c r="E174" i="3"/>
  <c r="G174" i="3" s="1"/>
  <c r="W174" i="3" s="1"/>
  <c r="A174" i="3"/>
  <c r="Z173" i="3"/>
  <c r="Y173" i="3"/>
  <c r="U173" i="3"/>
  <c r="S173" i="3"/>
  <c r="E173" i="3"/>
  <c r="A173" i="3"/>
  <c r="Z172" i="3"/>
  <c r="Y172" i="3"/>
  <c r="U172" i="3"/>
  <c r="S172" i="3"/>
  <c r="E172" i="3"/>
  <c r="A172" i="3"/>
  <c r="Z171" i="3"/>
  <c r="Y171" i="3"/>
  <c r="U171" i="3"/>
  <c r="S171" i="3"/>
  <c r="E171" i="3"/>
  <c r="T171" i="3" s="1"/>
  <c r="A171" i="3"/>
  <c r="Z170" i="3"/>
  <c r="Y170" i="3"/>
  <c r="U170" i="3"/>
  <c r="S170" i="3"/>
  <c r="E170" i="3"/>
  <c r="V170" i="3" s="1"/>
  <c r="A170" i="3"/>
  <c r="Z169" i="3"/>
  <c r="Y169" i="3"/>
  <c r="U169" i="3"/>
  <c r="S169" i="3"/>
  <c r="E169" i="3"/>
  <c r="V169" i="3" s="1"/>
  <c r="A169" i="3"/>
  <c r="Z168" i="3"/>
  <c r="Y168" i="3"/>
  <c r="U168" i="3"/>
  <c r="S168" i="3"/>
  <c r="E168" i="3"/>
  <c r="A168" i="3"/>
  <c r="Z167" i="3"/>
  <c r="Y167" i="3"/>
  <c r="U167" i="3"/>
  <c r="S167" i="3"/>
  <c r="E167" i="3"/>
  <c r="T167" i="3" s="1"/>
  <c r="A167" i="3"/>
  <c r="Z166" i="3"/>
  <c r="Y166" i="3"/>
  <c r="U166" i="3"/>
  <c r="S166" i="3"/>
  <c r="E166" i="3"/>
  <c r="G166" i="3" s="1"/>
  <c r="W166" i="3" s="1"/>
  <c r="A166" i="3"/>
  <c r="Z165" i="3"/>
  <c r="Y165" i="3"/>
  <c r="U165" i="3"/>
  <c r="S165" i="3"/>
  <c r="E165" i="3"/>
  <c r="V165" i="3" s="1"/>
  <c r="A165" i="3"/>
  <c r="Z164" i="3"/>
  <c r="Y164" i="3"/>
  <c r="U164" i="3"/>
  <c r="S164" i="3"/>
  <c r="E164" i="3"/>
  <c r="A164" i="3"/>
  <c r="Z163" i="3"/>
  <c r="Y163" i="3"/>
  <c r="U163" i="3"/>
  <c r="S163" i="3"/>
  <c r="E163" i="3"/>
  <c r="T163" i="3" s="1"/>
  <c r="A163" i="3"/>
  <c r="Z162" i="3"/>
  <c r="Y162" i="3"/>
  <c r="U162" i="3"/>
  <c r="S162" i="3"/>
  <c r="E162" i="3"/>
  <c r="G162" i="3" s="1"/>
  <c r="W162" i="3" s="1"/>
  <c r="A162" i="3"/>
  <c r="Z161" i="3"/>
  <c r="Y161" i="3"/>
  <c r="V161" i="3"/>
  <c r="U161" i="3"/>
  <c r="S161" i="3"/>
  <c r="E161" i="3"/>
  <c r="A161" i="3"/>
  <c r="Z160" i="3"/>
  <c r="Y160" i="3"/>
  <c r="U160" i="3"/>
  <c r="S160" i="3"/>
  <c r="E160" i="3"/>
  <c r="A160" i="3"/>
  <c r="Z159" i="3"/>
  <c r="Y159" i="3"/>
  <c r="U159" i="3"/>
  <c r="S159" i="3"/>
  <c r="E159" i="3"/>
  <c r="G159" i="3" s="1"/>
  <c r="W159" i="3" s="1"/>
  <c r="A159" i="3"/>
  <c r="Z158" i="3"/>
  <c r="Y158" i="3"/>
  <c r="U158" i="3"/>
  <c r="S158" i="3"/>
  <c r="E158" i="3"/>
  <c r="G158" i="3" s="1"/>
  <c r="W158" i="3" s="1"/>
  <c r="A158" i="3"/>
  <c r="Z157" i="3"/>
  <c r="Y157" i="3"/>
  <c r="U157" i="3"/>
  <c r="S157" i="3"/>
  <c r="E157" i="3"/>
  <c r="V157" i="3" s="1"/>
  <c r="A157" i="3"/>
  <c r="Z156" i="3"/>
  <c r="Y156" i="3"/>
  <c r="U156" i="3"/>
  <c r="S156" i="3"/>
  <c r="E156" i="3"/>
  <c r="G156" i="3" s="1"/>
  <c r="W156" i="3" s="1"/>
  <c r="A156" i="3"/>
  <c r="Z155" i="3"/>
  <c r="Y155" i="3"/>
  <c r="U155" i="3"/>
  <c r="S155" i="3"/>
  <c r="E155" i="3"/>
  <c r="V155" i="3" s="1"/>
  <c r="A155" i="3"/>
  <c r="Z154" i="3"/>
  <c r="Y154" i="3"/>
  <c r="U154" i="3"/>
  <c r="S154" i="3"/>
  <c r="E154" i="3"/>
  <c r="G154" i="3" s="1"/>
  <c r="W154" i="3" s="1"/>
  <c r="A154" i="3"/>
  <c r="Z153" i="3"/>
  <c r="Y153" i="3"/>
  <c r="U153" i="3"/>
  <c r="S153" i="3"/>
  <c r="E153" i="3"/>
  <c r="V153" i="3" s="1"/>
  <c r="A153" i="3"/>
  <c r="Z152" i="3"/>
  <c r="Y152" i="3"/>
  <c r="U152" i="3"/>
  <c r="S152" i="3"/>
  <c r="E152" i="3"/>
  <c r="G152" i="3" s="1"/>
  <c r="W152" i="3" s="1"/>
  <c r="A152" i="3"/>
  <c r="Z151" i="3"/>
  <c r="Y151" i="3"/>
  <c r="U151" i="3"/>
  <c r="S151" i="3"/>
  <c r="E151" i="3"/>
  <c r="V151" i="3" s="1"/>
  <c r="A151" i="3"/>
  <c r="Z150" i="3"/>
  <c r="Y150" i="3"/>
  <c r="U150" i="3"/>
  <c r="S150" i="3"/>
  <c r="E150" i="3"/>
  <c r="G150" i="3" s="1"/>
  <c r="W150" i="3" s="1"/>
  <c r="A150" i="3"/>
  <c r="Z149" i="3"/>
  <c r="Y149" i="3"/>
  <c r="U149" i="3"/>
  <c r="S149" i="3"/>
  <c r="E149" i="3"/>
  <c r="V149" i="3" s="1"/>
  <c r="A149" i="3"/>
  <c r="Z148" i="3"/>
  <c r="Y148" i="3"/>
  <c r="U148" i="3"/>
  <c r="S148" i="3"/>
  <c r="E148" i="3"/>
  <c r="G148" i="3" s="1"/>
  <c r="W148" i="3" s="1"/>
  <c r="A148" i="3"/>
  <c r="Z147" i="3"/>
  <c r="Y147" i="3"/>
  <c r="U147" i="3"/>
  <c r="S147" i="3"/>
  <c r="E147" i="3"/>
  <c r="V147" i="3" s="1"/>
  <c r="A147" i="3"/>
  <c r="Z146" i="3"/>
  <c r="Y146" i="3"/>
  <c r="U146" i="3"/>
  <c r="S146" i="3"/>
  <c r="E146" i="3"/>
  <c r="G146" i="3" s="1"/>
  <c r="W146" i="3" s="1"/>
  <c r="A146" i="3"/>
  <c r="Z145" i="3"/>
  <c r="Y145" i="3"/>
  <c r="U145" i="3"/>
  <c r="S145" i="3"/>
  <c r="E145" i="3"/>
  <c r="V145" i="3" s="1"/>
  <c r="A145" i="3"/>
  <c r="Z144" i="3"/>
  <c r="Y144" i="3"/>
  <c r="U144" i="3"/>
  <c r="S144" i="3"/>
  <c r="E144" i="3"/>
  <c r="G144" i="3" s="1"/>
  <c r="W144" i="3" s="1"/>
  <c r="A144" i="3"/>
  <c r="Z143" i="3"/>
  <c r="Y143" i="3"/>
  <c r="U143" i="3"/>
  <c r="S143" i="3"/>
  <c r="E143" i="3"/>
  <c r="V143" i="3" s="1"/>
  <c r="A143" i="3"/>
  <c r="Z142" i="3"/>
  <c r="Y142" i="3"/>
  <c r="U142" i="3"/>
  <c r="S142" i="3"/>
  <c r="E142" i="3"/>
  <c r="G142" i="3" s="1"/>
  <c r="W142" i="3" s="1"/>
  <c r="A142" i="3"/>
  <c r="Z141" i="3"/>
  <c r="Y141" i="3"/>
  <c r="U141" i="3"/>
  <c r="S141" i="3"/>
  <c r="E141" i="3"/>
  <c r="V141" i="3" s="1"/>
  <c r="A141" i="3"/>
  <c r="Z140" i="3"/>
  <c r="Y140" i="3"/>
  <c r="U140" i="3"/>
  <c r="S140" i="3"/>
  <c r="E140" i="3"/>
  <c r="G140" i="3" s="1"/>
  <c r="W140" i="3" s="1"/>
  <c r="A140" i="3"/>
  <c r="Z139" i="3"/>
  <c r="Y139" i="3"/>
  <c r="U139" i="3"/>
  <c r="S139" i="3"/>
  <c r="E139" i="3"/>
  <c r="V139" i="3" s="1"/>
  <c r="A139" i="3"/>
  <c r="Z138" i="3"/>
  <c r="Y138" i="3"/>
  <c r="U138" i="3"/>
  <c r="S138" i="3"/>
  <c r="E138" i="3"/>
  <c r="G138" i="3" s="1"/>
  <c r="W138" i="3" s="1"/>
  <c r="A138" i="3"/>
  <c r="Z137" i="3"/>
  <c r="Y137" i="3"/>
  <c r="U137" i="3"/>
  <c r="S137" i="3"/>
  <c r="E137" i="3"/>
  <c r="V137" i="3" s="1"/>
  <c r="A137" i="3"/>
  <c r="Z136" i="3"/>
  <c r="Y136" i="3"/>
  <c r="U136" i="3"/>
  <c r="S136" i="3"/>
  <c r="E136" i="3"/>
  <c r="G136" i="3" s="1"/>
  <c r="W136" i="3" s="1"/>
  <c r="A136" i="3"/>
  <c r="Z135" i="3"/>
  <c r="Y135" i="3"/>
  <c r="U135" i="3"/>
  <c r="S135" i="3"/>
  <c r="E135" i="3"/>
  <c r="V135" i="3" s="1"/>
  <c r="A135" i="3"/>
  <c r="Z134" i="3"/>
  <c r="Y134" i="3"/>
  <c r="U134" i="3"/>
  <c r="S134" i="3"/>
  <c r="E134" i="3"/>
  <c r="G134" i="3" s="1"/>
  <c r="W134" i="3" s="1"/>
  <c r="A134" i="3"/>
  <c r="Z133" i="3"/>
  <c r="Y133" i="3"/>
  <c r="U133" i="3"/>
  <c r="S133" i="3"/>
  <c r="E133" i="3"/>
  <c r="V133" i="3" s="1"/>
  <c r="A133" i="3"/>
  <c r="Z132" i="3"/>
  <c r="Y132" i="3"/>
  <c r="U132" i="3"/>
  <c r="S132" i="3"/>
  <c r="E132" i="3"/>
  <c r="G132" i="3" s="1"/>
  <c r="W132" i="3" s="1"/>
  <c r="A132" i="3"/>
  <c r="Z131" i="3"/>
  <c r="Y131" i="3"/>
  <c r="U131" i="3"/>
  <c r="S131" i="3"/>
  <c r="E131" i="3"/>
  <c r="V131" i="3" s="1"/>
  <c r="A131" i="3"/>
  <c r="Z130" i="3"/>
  <c r="Y130" i="3"/>
  <c r="U130" i="3"/>
  <c r="S130" i="3"/>
  <c r="E130" i="3"/>
  <c r="G130" i="3" s="1"/>
  <c r="W130" i="3" s="1"/>
  <c r="A130" i="3"/>
  <c r="Z129" i="3"/>
  <c r="Y129" i="3"/>
  <c r="U129" i="3"/>
  <c r="S129" i="3"/>
  <c r="E129" i="3"/>
  <c r="V129" i="3" s="1"/>
  <c r="A129" i="3"/>
  <c r="Z128" i="3"/>
  <c r="Y128" i="3"/>
  <c r="U128" i="3"/>
  <c r="S128" i="3"/>
  <c r="E128" i="3"/>
  <c r="G128" i="3" s="1"/>
  <c r="W128" i="3" s="1"/>
  <c r="A128" i="3"/>
  <c r="Z127" i="3"/>
  <c r="Y127" i="3"/>
  <c r="U127" i="3"/>
  <c r="S127" i="3"/>
  <c r="E127" i="3"/>
  <c r="V127" i="3" s="1"/>
  <c r="A127" i="3"/>
  <c r="Z126" i="3"/>
  <c r="Y126" i="3"/>
  <c r="U126" i="3"/>
  <c r="S126" i="3"/>
  <c r="E126" i="3"/>
  <c r="G126" i="3" s="1"/>
  <c r="W126" i="3" s="1"/>
  <c r="A126" i="3"/>
  <c r="Z125" i="3"/>
  <c r="Y125" i="3"/>
  <c r="U125" i="3"/>
  <c r="S125" i="3"/>
  <c r="E125" i="3"/>
  <c r="V125" i="3" s="1"/>
  <c r="A125" i="3"/>
  <c r="Z124" i="3"/>
  <c r="Y124" i="3"/>
  <c r="U124" i="3"/>
  <c r="S124" i="3"/>
  <c r="E124" i="3"/>
  <c r="G124" i="3" s="1"/>
  <c r="W124" i="3" s="1"/>
  <c r="A124" i="3"/>
  <c r="Z123" i="3"/>
  <c r="Y123" i="3"/>
  <c r="U123" i="3"/>
  <c r="S123" i="3"/>
  <c r="E123" i="3"/>
  <c r="V123" i="3" s="1"/>
  <c r="A123" i="3"/>
  <c r="Z122" i="3"/>
  <c r="Y122" i="3"/>
  <c r="U122" i="3"/>
  <c r="S122" i="3"/>
  <c r="E122" i="3"/>
  <c r="G122" i="3" s="1"/>
  <c r="W122" i="3" s="1"/>
  <c r="A122" i="3"/>
  <c r="Z121" i="3"/>
  <c r="Y121" i="3"/>
  <c r="U121" i="3"/>
  <c r="S121" i="3"/>
  <c r="E121" i="3"/>
  <c r="V121" i="3" s="1"/>
  <c r="A121" i="3"/>
  <c r="Z120" i="3"/>
  <c r="Y120" i="3"/>
  <c r="U120" i="3"/>
  <c r="S120" i="3"/>
  <c r="E120" i="3"/>
  <c r="G120" i="3" s="1"/>
  <c r="W120" i="3" s="1"/>
  <c r="A120" i="3"/>
  <c r="Z119" i="3"/>
  <c r="Y119" i="3"/>
  <c r="U119" i="3"/>
  <c r="S119" i="3"/>
  <c r="E119" i="3"/>
  <c r="V119" i="3" s="1"/>
  <c r="A119" i="3"/>
  <c r="Z118" i="3"/>
  <c r="Y118" i="3"/>
  <c r="U118" i="3"/>
  <c r="S118" i="3"/>
  <c r="E118" i="3"/>
  <c r="G118" i="3" s="1"/>
  <c r="W118" i="3" s="1"/>
  <c r="A118" i="3"/>
  <c r="Z117" i="3"/>
  <c r="Y117" i="3"/>
  <c r="U117" i="3"/>
  <c r="S117" i="3"/>
  <c r="E117" i="3"/>
  <c r="V117" i="3" s="1"/>
  <c r="A117" i="3"/>
  <c r="Z116" i="3"/>
  <c r="Y116" i="3"/>
  <c r="U116" i="3"/>
  <c r="S116" i="3"/>
  <c r="E116" i="3"/>
  <c r="G116" i="3" s="1"/>
  <c r="W116" i="3" s="1"/>
  <c r="A116" i="3"/>
  <c r="Z115" i="3"/>
  <c r="Y115" i="3"/>
  <c r="U115" i="3"/>
  <c r="S115" i="3"/>
  <c r="E115" i="3"/>
  <c r="V115" i="3" s="1"/>
  <c r="A115" i="3"/>
  <c r="Z114" i="3"/>
  <c r="Y114" i="3"/>
  <c r="U114" i="3"/>
  <c r="S114" i="3"/>
  <c r="E114" i="3"/>
  <c r="G114" i="3" s="1"/>
  <c r="W114" i="3" s="1"/>
  <c r="A114" i="3"/>
  <c r="Z113" i="3"/>
  <c r="Y113" i="3"/>
  <c r="U113" i="3"/>
  <c r="S113" i="3"/>
  <c r="E113" i="3"/>
  <c r="V113" i="3" s="1"/>
  <c r="A113" i="3"/>
  <c r="Z112" i="3"/>
  <c r="Y112" i="3"/>
  <c r="U112" i="3"/>
  <c r="S112" i="3"/>
  <c r="E112" i="3"/>
  <c r="G112" i="3" s="1"/>
  <c r="W112" i="3" s="1"/>
  <c r="A112" i="3"/>
  <c r="Z111" i="3"/>
  <c r="Y111" i="3"/>
  <c r="U111" i="3"/>
  <c r="S111" i="3"/>
  <c r="E111" i="3"/>
  <c r="V111" i="3" s="1"/>
  <c r="A111" i="3"/>
  <c r="Z110" i="3"/>
  <c r="Y110" i="3"/>
  <c r="U110" i="3"/>
  <c r="S110" i="3"/>
  <c r="E110" i="3"/>
  <c r="G110" i="3" s="1"/>
  <c r="W110" i="3" s="1"/>
  <c r="A110" i="3"/>
  <c r="Z109" i="3"/>
  <c r="Y109" i="3"/>
  <c r="U109" i="3"/>
  <c r="S109" i="3"/>
  <c r="E109" i="3"/>
  <c r="V109" i="3" s="1"/>
  <c r="A109" i="3"/>
  <c r="Z108" i="3"/>
  <c r="Y108" i="3"/>
  <c r="U108" i="3"/>
  <c r="S108" i="3"/>
  <c r="E108" i="3"/>
  <c r="G108" i="3" s="1"/>
  <c r="W108" i="3" s="1"/>
  <c r="A108" i="3"/>
  <c r="Z107" i="3"/>
  <c r="Y107" i="3"/>
  <c r="U107" i="3"/>
  <c r="S107" i="3"/>
  <c r="E107" i="3"/>
  <c r="V107" i="3" s="1"/>
  <c r="A107" i="3"/>
  <c r="Z106" i="3"/>
  <c r="Y106" i="3"/>
  <c r="U106" i="3"/>
  <c r="S106" i="3"/>
  <c r="E106" i="3"/>
  <c r="G106" i="3" s="1"/>
  <c r="W106" i="3" s="1"/>
  <c r="A106" i="3"/>
  <c r="Z105" i="3"/>
  <c r="Y105" i="3"/>
  <c r="V105" i="3"/>
  <c r="U105" i="3"/>
  <c r="S105" i="3"/>
  <c r="E105" i="3"/>
  <c r="A105" i="3"/>
  <c r="Z104" i="3"/>
  <c r="Y104" i="3"/>
  <c r="U104" i="3"/>
  <c r="S104" i="3"/>
  <c r="E104" i="3"/>
  <c r="G104" i="3" s="1"/>
  <c r="W104" i="3" s="1"/>
  <c r="A104" i="3"/>
  <c r="Z103" i="3"/>
  <c r="Y103" i="3"/>
  <c r="U103" i="3"/>
  <c r="S103" i="3"/>
  <c r="E103" i="3"/>
  <c r="V103" i="3" s="1"/>
  <c r="A103" i="3"/>
  <c r="Z102" i="3"/>
  <c r="Y102" i="3"/>
  <c r="U102" i="3"/>
  <c r="S102" i="3"/>
  <c r="E102" i="3"/>
  <c r="G102" i="3" s="1"/>
  <c r="W102" i="3" s="1"/>
  <c r="A102" i="3"/>
  <c r="Z101" i="3"/>
  <c r="Y101" i="3"/>
  <c r="U101" i="3"/>
  <c r="S101" i="3"/>
  <c r="E101" i="3"/>
  <c r="V101" i="3" s="1"/>
  <c r="A101" i="3"/>
  <c r="Z100" i="3"/>
  <c r="Y100" i="3"/>
  <c r="U100" i="3"/>
  <c r="S100" i="3"/>
  <c r="E100" i="3"/>
  <c r="G100" i="3" s="1"/>
  <c r="W100" i="3" s="1"/>
  <c r="A100" i="3"/>
  <c r="Z99" i="3"/>
  <c r="Y99" i="3"/>
  <c r="U99" i="3"/>
  <c r="S99" i="3"/>
  <c r="E99" i="3"/>
  <c r="V99" i="3" s="1"/>
  <c r="A99" i="3"/>
  <c r="Z98" i="3"/>
  <c r="Y98" i="3"/>
  <c r="U98" i="3"/>
  <c r="T98" i="3"/>
  <c r="S98" i="3"/>
  <c r="E98" i="3"/>
  <c r="G98" i="3" s="1"/>
  <c r="W98" i="3" s="1"/>
  <c r="A98" i="3"/>
  <c r="Z97" i="3"/>
  <c r="Y97" i="3"/>
  <c r="U97" i="3"/>
  <c r="S97" i="3"/>
  <c r="E97" i="3"/>
  <c r="V97" i="3" s="1"/>
  <c r="A97" i="3"/>
  <c r="Z96" i="3"/>
  <c r="Y96" i="3"/>
  <c r="U96" i="3"/>
  <c r="S96" i="3"/>
  <c r="E96" i="3"/>
  <c r="G96" i="3" s="1"/>
  <c r="W96" i="3" s="1"/>
  <c r="A96" i="3"/>
  <c r="Z95" i="3"/>
  <c r="Y95" i="3"/>
  <c r="U95" i="3"/>
  <c r="S95" i="3"/>
  <c r="E95" i="3"/>
  <c r="V95" i="3" s="1"/>
  <c r="A95" i="3"/>
  <c r="Z94" i="3"/>
  <c r="Y94" i="3"/>
  <c r="U94" i="3"/>
  <c r="S94" i="3"/>
  <c r="E94" i="3"/>
  <c r="G94" i="3" s="1"/>
  <c r="W94" i="3" s="1"/>
  <c r="A94" i="3"/>
  <c r="Z93" i="3"/>
  <c r="Y93" i="3"/>
  <c r="U93" i="3"/>
  <c r="S93" i="3"/>
  <c r="E93" i="3"/>
  <c r="V93" i="3" s="1"/>
  <c r="A93" i="3"/>
  <c r="Z92" i="3"/>
  <c r="Y92" i="3"/>
  <c r="U92" i="3"/>
  <c r="S92" i="3"/>
  <c r="E92" i="3"/>
  <c r="G92" i="3" s="1"/>
  <c r="W92" i="3" s="1"/>
  <c r="A92" i="3"/>
  <c r="Z91" i="3"/>
  <c r="Y91" i="3"/>
  <c r="U91" i="3"/>
  <c r="S91" i="3"/>
  <c r="E91" i="3"/>
  <c r="V91" i="3" s="1"/>
  <c r="A91" i="3"/>
  <c r="Z90" i="3"/>
  <c r="Y90" i="3"/>
  <c r="U90" i="3"/>
  <c r="S90" i="3"/>
  <c r="E90" i="3"/>
  <c r="G90" i="3" s="1"/>
  <c r="W90" i="3" s="1"/>
  <c r="A90" i="3"/>
  <c r="Z89" i="3"/>
  <c r="Y89" i="3"/>
  <c r="V89" i="3"/>
  <c r="U89" i="3"/>
  <c r="S89" i="3"/>
  <c r="E89" i="3"/>
  <c r="A89" i="3"/>
  <c r="Z88" i="3"/>
  <c r="Y88" i="3"/>
  <c r="U88" i="3"/>
  <c r="S88" i="3"/>
  <c r="E88" i="3"/>
  <c r="G88" i="3" s="1"/>
  <c r="W88" i="3" s="1"/>
  <c r="A88" i="3"/>
  <c r="Z87" i="3"/>
  <c r="Y87" i="3"/>
  <c r="U87" i="3"/>
  <c r="S87" i="3"/>
  <c r="E87" i="3"/>
  <c r="V87" i="3" s="1"/>
  <c r="A87" i="3"/>
  <c r="Z86" i="3"/>
  <c r="Y86" i="3"/>
  <c r="U86" i="3"/>
  <c r="S86" i="3"/>
  <c r="E86" i="3"/>
  <c r="G86" i="3" s="1"/>
  <c r="W86" i="3" s="1"/>
  <c r="A86" i="3"/>
  <c r="Z85" i="3"/>
  <c r="Y85" i="3"/>
  <c r="U85" i="3"/>
  <c r="S85" i="3"/>
  <c r="E85" i="3"/>
  <c r="V85" i="3" s="1"/>
  <c r="A85" i="3"/>
  <c r="Z84" i="3"/>
  <c r="Y84" i="3"/>
  <c r="U84" i="3"/>
  <c r="S84" i="3"/>
  <c r="E84" i="3"/>
  <c r="G84" i="3" s="1"/>
  <c r="W84" i="3" s="1"/>
  <c r="A84" i="3"/>
  <c r="Z83" i="3"/>
  <c r="Y83" i="3"/>
  <c r="U83" i="3"/>
  <c r="S83" i="3"/>
  <c r="E83" i="3"/>
  <c r="V83" i="3" s="1"/>
  <c r="A83" i="3"/>
  <c r="Z82" i="3"/>
  <c r="Y82" i="3"/>
  <c r="U82" i="3"/>
  <c r="S82" i="3"/>
  <c r="E82" i="3"/>
  <c r="G82" i="3" s="1"/>
  <c r="W82" i="3" s="1"/>
  <c r="A82" i="3"/>
  <c r="Z81" i="3"/>
  <c r="Y81" i="3"/>
  <c r="U81" i="3"/>
  <c r="S81" i="3"/>
  <c r="E81" i="3"/>
  <c r="A81" i="3"/>
  <c r="Z80" i="3"/>
  <c r="Y80" i="3"/>
  <c r="U80" i="3"/>
  <c r="S80" i="3"/>
  <c r="E80" i="3"/>
  <c r="A80" i="3"/>
  <c r="Z79" i="3"/>
  <c r="Y79" i="3"/>
  <c r="U79" i="3"/>
  <c r="S79" i="3"/>
  <c r="E79" i="3"/>
  <c r="V79" i="3" s="1"/>
  <c r="A79" i="3"/>
  <c r="Z78" i="3"/>
  <c r="Y78" i="3"/>
  <c r="U78" i="3"/>
  <c r="S78" i="3"/>
  <c r="E78" i="3"/>
  <c r="G78" i="3" s="1"/>
  <c r="W78" i="3" s="1"/>
  <c r="A78" i="3"/>
  <c r="Z77" i="3"/>
  <c r="Y77" i="3"/>
  <c r="U77" i="3"/>
  <c r="S77" i="3"/>
  <c r="E77" i="3"/>
  <c r="T77" i="3" s="1"/>
  <c r="A77" i="3"/>
  <c r="Z76" i="3"/>
  <c r="Y76" i="3"/>
  <c r="U76" i="3"/>
  <c r="S76" i="3"/>
  <c r="E76" i="3"/>
  <c r="V76" i="3" s="1"/>
  <c r="A76" i="3"/>
  <c r="Z75" i="3"/>
  <c r="Y75" i="3"/>
  <c r="U75" i="3"/>
  <c r="S75" i="3"/>
  <c r="E75" i="3"/>
  <c r="V75" i="3" s="1"/>
  <c r="A75" i="3"/>
  <c r="Z74" i="3"/>
  <c r="Y74" i="3"/>
  <c r="U74" i="3"/>
  <c r="S74" i="3"/>
  <c r="E74" i="3"/>
  <c r="T74" i="3" s="1"/>
  <c r="A74" i="3"/>
  <c r="Z73" i="3"/>
  <c r="Y73" i="3"/>
  <c r="U73" i="3"/>
  <c r="S73" i="3"/>
  <c r="E73" i="3"/>
  <c r="T73" i="3" s="1"/>
  <c r="A73" i="3"/>
  <c r="Z72" i="3"/>
  <c r="Y72" i="3"/>
  <c r="U72" i="3"/>
  <c r="S72" i="3"/>
  <c r="E72" i="3"/>
  <c r="V72" i="3" s="1"/>
  <c r="A72" i="3"/>
  <c r="Z71" i="3"/>
  <c r="Y71" i="3"/>
  <c r="U71" i="3"/>
  <c r="S71" i="3"/>
  <c r="E71" i="3"/>
  <c r="V71" i="3" s="1"/>
  <c r="A71" i="3"/>
  <c r="Z70" i="3"/>
  <c r="Y70" i="3"/>
  <c r="U70" i="3"/>
  <c r="S70" i="3"/>
  <c r="E70" i="3"/>
  <c r="T70" i="3" s="1"/>
  <c r="A70" i="3"/>
  <c r="Z69" i="3"/>
  <c r="Y69" i="3"/>
  <c r="U69" i="3"/>
  <c r="S69" i="3"/>
  <c r="E69" i="3"/>
  <c r="V69" i="3" s="1"/>
  <c r="A69" i="3"/>
  <c r="Z68" i="3"/>
  <c r="Y68" i="3"/>
  <c r="U68" i="3"/>
  <c r="S68" i="3"/>
  <c r="E68" i="3"/>
  <c r="G68" i="3" s="1"/>
  <c r="W68" i="3" s="1"/>
  <c r="A68" i="3"/>
  <c r="Z67" i="3"/>
  <c r="Y67" i="3"/>
  <c r="U67" i="3"/>
  <c r="S67" i="3"/>
  <c r="E67" i="3"/>
  <c r="V67" i="3" s="1"/>
  <c r="A67" i="3"/>
  <c r="Z66" i="3"/>
  <c r="Y66" i="3"/>
  <c r="U66" i="3"/>
  <c r="S66" i="3"/>
  <c r="E66" i="3"/>
  <c r="T66" i="3" s="1"/>
  <c r="A66" i="3"/>
  <c r="Z65" i="3"/>
  <c r="Y65" i="3"/>
  <c r="U65" i="3"/>
  <c r="S65" i="3"/>
  <c r="E65" i="3"/>
  <c r="V65" i="3" s="1"/>
  <c r="A65" i="3"/>
  <c r="Z64" i="3"/>
  <c r="Y64" i="3"/>
  <c r="U64" i="3"/>
  <c r="S64" i="3"/>
  <c r="E64" i="3"/>
  <c r="V64" i="3" s="1"/>
  <c r="A64" i="3"/>
  <c r="Z63" i="3"/>
  <c r="Y63" i="3"/>
  <c r="U63" i="3"/>
  <c r="S63" i="3"/>
  <c r="E63" i="3"/>
  <c r="V63" i="3" s="1"/>
  <c r="A63" i="3"/>
  <c r="Z62" i="3"/>
  <c r="Y62" i="3"/>
  <c r="U62" i="3"/>
  <c r="S62" i="3"/>
  <c r="E62" i="3"/>
  <c r="T62" i="3" s="1"/>
  <c r="A62" i="3"/>
  <c r="Z61" i="3"/>
  <c r="Y61" i="3"/>
  <c r="U61" i="3"/>
  <c r="S61" i="3"/>
  <c r="E61" i="3"/>
  <c r="T61" i="3" s="1"/>
  <c r="A61" i="3"/>
  <c r="Z60" i="3"/>
  <c r="Y60" i="3"/>
  <c r="U60" i="3"/>
  <c r="S60" i="3"/>
  <c r="E60" i="3"/>
  <c r="V60" i="3" s="1"/>
  <c r="A60" i="3"/>
  <c r="Z59" i="3"/>
  <c r="Y59" i="3"/>
  <c r="U59" i="3"/>
  <c r="S59" i="3"/>
  <c r="E59" i="3"/>
  <c r="V59" i="3" s="1"/>
  <c r="A59" i="3"/>
  <c r="Z58" i="3"/>
  <c r="Y58" i="3"/>
  <c r="U58" i="3"/>
  <c r="S58" i="3"/>
  <c r="E58" i="3"/>
  <c r="T58" i="3" s="1"/>
  <c r="A58" i="3"/>
  <c r="Z57" i="3"/>
  <c r="Y57" i="3"/>
  <c r="U57" i="3"/>
  <c r="S57" i="3"/>
  <c r="E57" i="3"/>
  <c r="V57" i="3" s="1"/>
  <c r="A57" i="3"/>
  <c r="Z56" i="3"/>
  <c r="Y56" i="3"/>
  <c r="U56" i="3"/>
  <c r="S56" i="3"/>
  <c r="E56" i="3"/>
  <c r="G56" i="3" s="1"/>
  <c r="W56" i="3" s="1"/>
  <c r="A56" i="3"/>
  <c r="Z55" i="3"/>
  <c r="Y55" i="3"/>
  <c r="U55" i="3"/>
  <c r="S55" i="3"/>
  <c r="E55" i="3"/>
  <c r="V55" i="3" s="1"/>
  <c r="A55" i="3"/>
  <c r="Z54" i="3"/>
  <c r="Y54" i="3"/>
  <c r="U54" i="3"/>
  <c r="S54" i="3"/>
  <c r="E54" i="3"/>
  <c r="T54" i="3" s="1"/>
  <c r="A54" i="3"/>
  <c r="Z53" i="3"/>
  <c r="Y53" i="3"/>
  <c r="U53" i="3"/>
  <c r="S53" i="3"/>
  <c r="E53" i="3"/>
  <c r="V53" i="3" s="1"/>
  <c r="A53" i="3"/>
  <c r="Z52" i="3"/>
  <c r="Y52" i="3"/>
  <c r="U52" i="3"/>
  <c r="S52" i="3"/>
  <c r="E52" i="3"/>
  <c r="G52" i="3" s="1"/>
  <c r="W52" i="3" s="1"/>
  <c r="A52" i="3"/>
  <c r="Z51" i="3"/>
  <c r="Y51" i="3"/>
  <c r="U51" i="3"/>
  <c r="S51" i="3"/>
  <c r="E51" i="3"/>
  <c r="V51" i="3" s="1"/>
  <c r="A51" i="3"/>
  <c r="Z50" i="3"/>
  <c r="Y50" i="3"/>
  <c r="U50" i="3"/>
  <c r="S50" i="3"/>
  <c r="E50" i="3"/>
  <c r="T50" i="3" s="1"/>
  <c r="A50" i="3"/>
  <c r="Z49" i="3"/>
  <c r="Y49" i="3"/>
  <c r="U49" i="3"/>
  <c r="S49" i="3"/>
  <c r="E49" i="3"/>
  <c r="V49" i="3" s="1"/>
  <c r="A49" i="3"/>
  <c r="Z48" i="3"/>
  <c r="Y48" i="3"/>
  <c r="U48" i="3"/>
  <c r="S48" i="3"/>
  <c r="E48" i="3"/>
  <c r="G48" i="3" s="1"/>
  <c r="W48" i="3" s="1"/>
  <c r="A48" i="3"/>
  <c r="Z47" i="3"/>
  <c r="Y47" i="3"/>
  <c r="U47" i="3"/>
  <c r="S47" i="3"/>
  <c r="E47" i="3"/>
  <c r="V47" i="3" s="1"/>
  <c r="A47" i="3"/>
  <c r="Z46" i="3"/>
  <c r="Y46" i="3"/>
  <c r="U46" i="3"/>
  <c r="S46" i="3"/>
  <c r="E46" i="3"/>
  <c r="T46" i="3" s="1"/>
  <c r="A46" i="3"/>
  <c r="Z45" i="3"/>
  <c r="Y45" i="3"/>
  <c r="U45" i="3"/>
  <c r="S45" i="3"/>
  <c r="E45" i="3"/>
  <c r="V45" i="3" s="1"/>
  <c r="A45" i="3"/>
  <c r="Z44" i="3"/>
  <c r="Y44" i="3"/>
  <c r="U44" i="3"/>
  <c r="S44" i="3"/>
  <c r="E44" i="3"/>
  <c r="G44" i="3" s="1"/>
  <c r="W44" i="3" s="1"/>
  <c r="A44" i="3"/>
  <c r="Z43" i="3"/>
  <c r="Y43" i="3"/>
  <c r="U43" i="3"/>
  <c r="S43" i="3"/>
  <c r="E43" i="3"/>
  <c r="V43" i="3" s="1"/>
  <c r="A43" i="3"/>
  <c r="Z42" i="3"/>
  <c r="Y42" i="3"/>
  <c r="U42" i="3"/>
  <c r="S42" i="3"/>
  <c r="E42" i="3"/>
  <c r="T42" i="3" s="1"/>
  <c r="A42" i="3"/>
  <c r="Z41" i="3"/>
  <c r="Y41" i="3"/>
  <c r="U41" i="3"/>
  <c r="S41" i="3"/>
  <c r="E41" i="3"/>
  <c r="V41" i="3" s="1"/>
  <c r="A41" i="3"/>
  <c r="Z40" i="3"/>
  <c r="Y40" i="3"/>
  <c r="U40" i="3"/>
  <c r="S40" i="3"/>
  <c r="E40" i="3"/>
  <c r="G40" i="3" s="1"/>
  <c r="W40" i="3" s="1"/>
  <c r="A40" i="3"/>
  <c r="Z39" i="3"/>
  <c r="Y39" i="3"/>
  <c r="U39" i="3"/>
  <c r="S39" i="3"/>
  <c r="E39" i="3"/>
  <c r="V39" i="3" s="1"/>
  <c r="A39" i="3"/>
  <c r="Z38" i="3"/>
  <c r="Y38" i="3"/>
  <c r="U38" i="3"/>
  <c r="S38" i="3"/>
  <c r="E38" i="3"/>
  <c r="T38" i="3" s="1"/>
  <c r="A38" i="3"/>
  <c r="Z37" i="3"/>
  <c r="Y37" i="3"/>
  <c r="U37" i="3"/>
  <c r="S37" i="3"/>
  <c r="E37" i="3"/>
  <c r="V37" i="3" s="1"/>
  <c r="A37" i="3"/>
  <c r="Z36" i="3"/>
  <c r="Y36" i="3"/>
  <c r="U36" i="3"/>
  <c r="S36" i="3"/>
  <c r="E36" i="3"/>
  <c r="G36" i="3" s="1"/>
  <c r="W36" i="3" s="1"/>
  <c r="A36" i="3"/>
  <c r="Z35" i="3"/>
  <c r="Y35" i="3"/>
  <c r="U35" i="3"/>
  <c r="S35" i="3"/>
  <c r="E35" i="3"/>
  <c r="V35" i="3" s="1"/>
  <c r="A35" i="3"/>
  <c r="Z34" i="3"/>
  <c r="Y34" i="3"/>
  <c r="U34" i="3"/>
  <c r="S34" i="3"/>
  <c r="E34" i="3"/>
  <c r="T34" i="3" s="1"/>
  <c r="A34" i="3"/>
  <c r="Z33" i="3"/>
  <c r="Y33" i="3"/>
  <c r="U33" i="3"/>
  <c r="S33" i="3"/>
  <c r="E33" i="3"/>
  <c r="V33" i="3" s="1"/>
  <c r="A33" i="3"/>
  <c r="Z32" i="3"/>
  <c r="Y32" i="3"/>
  <c r="U32" i="3"/>
  <c r="S32" i="3"/>
  <c r="E32" i="3"/>
  <c r="G32" i="3" s="1"/>
  <c r="W32" i="3" s="1"/>
  <c r="A32" i="3"/>
  <c r="Z31" i="3"/>
  <c r="Y31" i="3"/>
  <c r="U31" i="3"/>
  <c r="S31" i="3"/>
  <c r="E31" i="3"/>
  <c r="V31" i="3" s="1"/>
  <c r="A31" i="3"/>
  <c r="Z30" i="3"/>
  <c r="Y30" i="3"/>
  <c r="U30" i="3"/>
  <c r="S30" i="3"/>
  <c r="E30" i="3"/>
  <c r="T30" i="3" s="1"/>
  <c r="A30" i="3"/>
  <c r="Z29" i="3"/>
  <c r="Y29" i="3"/>
  <c r="U29" i="3"/>
  <c r="S29" i="3"/>
  <c r="E29" i="3"/>
  <c r="V29" i="3" s="1"/>
  <c r="A29" i="3"/>
  <c r="Z28" i="3"/>
  <c r="Y28" i="3"/>
  <c r="U28" i="3"/>
  <c r="S28" i="3"/>
  <c r="E28" i="3"/>
  <c r="G28" i="3" s="1"/>
  <c r="W28" i="3" s="1"/>
  <c r="A28" i="3"/>
  <c r="Z27" i="3"/>
  <c r="Y27" i="3"/>
  <c r="U27" i="3"/>
  <c r="S27" i="3"/>
  <c r="E27" i="3"/>
  <c r="V27" i="3" s="1"/>
  <c r="A27" i="3"/>
  <c r="Z26" i="3"/>
  <c r="Y26" i="3"/>
  <c r="U26" i="3"/>
  <c r="S26" i="3"/>
  <c r="E26" i="3"/>
  <c r="T26" i="3" s="1"/>
  <c r="A26" i="3"/>
  <c r="Z25" i="3"/>
  <c r="Y25" i="3"/>
  <c r="U25" i="3"/>
  <c r="S25" i="3"/>
  <c r="E25" i="3"/>
  <c r="G25" i="3" s="1"/>
  <c r="W25" i="3" s="1"/>
  <c r="A25" i="3"/>
  <c r="Z24" i="3"/>
  <c r="Y24" i="3"/>
  <c r="U24" i="3"/>
  <c r="S24" i="3"/>
  <c r="E24" i="3"/>
  <c r="T24" i="3" s="1"/>
  <c r="A24" i="3"/>
  <c r="Z23" i="3"/>
  <c r="Y23" i="3"/>
  <c r="U23" i="3"/>
  <c r="S23" i="3"/>
  <c r="E23" i="3"/>
  <c r="V23" i="3" s="1"/>
  <c r="A23" i="3"/>
  <c r="Z22" i="3"/>
  <c r="Y22" i="3"/>
  <c r="U22" i="3"/>
  <c r="S22" i="3"/>
  <c r="E22" i="3"/>
  <c r="T22" i="3" s="1"/>
  <c r="A22" i="3"/>
  <c r="Z21" i="3"/>
  <c r="Y21" i="3"/>
  <c r="U21" i="3"/>
  <c r="S21" i="3"/>
  <c r="E21" i="3"/>
  <c r="G21" i="3" s="1"/>
  <c r="W21" i="3" s="1"/>
  <c r="A21" i="3"/>
  <c r="Z20" i="3"/>
  <c r="Y20" i="3"/>
  <c r="U20" i="3"/>
  <c r="S20" i="3"/>
  <c r="E20" i="3"/>
  <c r="V20" i="3" s="1"/>
  <c r="A20" i="3"/>
  <c r="Z19" i="3"/>
  <c r="Y19" i="3"/>
  <c r="U19" i="3"/>
  <c r="S19" i="3"/>
  <c r="E19" i="3"/>
  <c r="V19" i="3" s="1"/>
  <c r="A19" i="3"/>
  <c r="Z18" i="3"/>
  <c r="Y18" i="3"/>
  <c r="U18" i="3"/>
  <c r="S18" i="3"/>
  <c r="E18" i="3"/>
  <c r="T18" i="3" s="1"/>
  <c r="A18" i="3"/>
  <c r="Z17" i="3"/>
  <c r="E17" i="3"/>
  <c r="A17" i="3"/>
  <c r="S17" i="3" s="1"/>
  <c r="Z16" i="3"/>
  <c r="E16" i="3"/>
  <c r="F16" i="3" s="1"/>
  <c r="A16" i="3"/>
  <c r="S16" i="3" s="1"/>
  <c r="Z15" i="3"/>
  <c r="E15" i="3"/>
  <c r="A15" i="3"/>
  <c r="S15" i="3" s="1"/>
  <c r="Z14" i="3"/>
  <c r="E14" i="3"/>
  <c r="F14" i="3" s="1"/>
  <c r="A14" i="3"/>
  <c r="S14" i="3" s="1"/>
  <c r="Z13" i="3"/>
  <c r="E13" i="3"/>
  <c r="A13" i="3"/>
  <c r="S13" i="3" s="1"/>
  <c r="Z12" i="3"/>
  <c r="E12" i="3"/>
  <c r="F12" i="3" s="1"/>
  <c r="A12" i="3"/>
  <c r="S12" i="3" s="1"/>
  <c r="Z11" i="3"/>
  <c r="E11" i="3"/>
  <c r="A11" i="3"/>
  <c r="S11" i="3" s="1"/>
  <c r="Z10" i="3"/>
  <c r="E10" i="3"/>
  <c r="G10" i="3" s="1"/>
  <c r="A10" i="3"/>
  <c r="S10" i="3" s="1"/>
  <c r="Z9" i="3"/>
  <c r="E9" i="3"/>
  <c r="A9" i="3"/>
  <c r="S9" i="3" s="1"/>
  <c r="Z8" i="3"/>
  <c r="E8" i="3"/>
  <c r="A8" i="3"/>
  <c r="S8" i="3" s="1"/>
  <c r="Z7" i="3"/>
  <c r="Q7" i="3"/>
  <c r="E7" i="3"/>
  <c r="G7" i="3" s="1"/>
  <c r="A7" i="3"/>
  <c r="Z6" i="3"/>
  <c r="P6" i="3"/>
  <c r="E6" i="3"/>
  <c r="G6" i="3" s="1"/>
  <c r="Y6" i="3" s="1"/>
  <c r="A6" i="3"/>
  <c r="K2" i="2"/>
  <c r="F10" i="2" s="1"/>
  <c r="H24" i="1"/>
  <c r="C24" i="1"/>
  <c r="B24" i="1"/>
  <c r="H23" i="1"/>
  <c r="C23" i="1"/>
  <c r="B23" i="1"/>
  <c r="H22" i="1"/>
  <c r="C22" i="1"/>
  <c r="B22" i="1"/>
  <c r="H21" i="1"/>
  <c r="C21" i="1"/>
  <c r="B21" i="1"/>
  <c r="H20" i="1"/>
  <c r="C20" i="1"/>
  <c r="B20" i="1"/>
  <c r="H19" i="1"/>
  <c r="C19" i="1"/>
  <c r="B19" i="1"/>
  <c r="H18" i="1"/>
  <c r="C18" i="1"/>
  <c r="B18" i="1"/>
  <c r="H17" i="1"/>
  <c r="C17" i="1"/>
  <c r="B17" i="1"/>
  <c r="H16" i="1"/>
  <c r="C16" i="1"/>
  <c r="B16" i="1"/>
  <c r="H15" i="1"/>
  <c r="C15" i="1"/>
  <c r="B15" i="1"/>
  <c r="H14" i="1"/>
  <c r="C14" i="1"/>
  <c r="D14" i="1" s="1"/>
  <c r="B14" i="1"/>
  <c r="H13" i="1"/>
  <c r="C13" i="1"/>
  <c r="B13" i="1"/>
  <c r="U17" i="3" l="1"/>
  <c r="V17" i="3" s="1"/>
  <c r="Y17" i="3"/>
  <c r="N19" i="6"/>
  <c r="T122" i="3"/>
  <c r="T154" i="3"/>
  <c r="G182" i="3"/>
  <c r="W182" i="3" s="1"/>
  <c r="T187" i="3"/>
  <c r="T41" i="3"/>
  <c r="G60" i="3"/>
  <c r="W60" i="3" s="1"/>
  <c r="L17" i="6"/>
  <c r="N17" i="6" s="1"/>
  <c r="S7" i="6"/>
  <c r="F15" i="6" s="1"/>
  <c r="P15" i="6" s="1"/>
  <c r="T29" i="3"/>
  <c r="G58" i="3"/>
  <c r="W58" i="3" s="1"/>
  <c r="T123" i="3"/>
  <c r="T174" i="3"/>
  <c r="V198" i="3"/>
  <c r="I19" i="6"/>
  <c r="V50" i="3"/>
  <c r="V24" i="3"/>
  <c r="V174" i="3"/>
  <c r="T91" i="3"/>
  <c r="T138" i="3"/>
  <c r="M17" i="6"/>
  <c r="T155" i="3"/>
  <c r="T191" i="3"/>
  <c r="N18" i="6"/>
  <c r="V142" i="3"/>
  <c r="M18" i="6"/>
  <c r="I18" i="6"/>
  <c r="G24" i="3"/>
  <c r="W24" i="3" s="1"/>
  <c r="T68" i="3"/>
  <c r="G17" i="6"/>
  <c r="H5" i="1"/>
  <c r="V28" i="3"/>
  <c r="T33" i="3"/>
  <c r="V48" i="3"/>
  <c r="T57" i="3"/>
  <c r="V68" i="3"/>
  <c r="T107" i="3"/>
  <c r="V159" i="3"/>
  <c r="T182" i="3"/>
  <c r="AH6" i="3"/>
  <c r="K19" i="6"/>
  <c r="T106" i="3"/>
  <c r="V126" i="3"/>
  <c r="T139" i="3"/>
  <c r="V158" i="3"/>
  <c r="V183" i="3"/>
  <c r="V194" i="3"/>
  <c r="T203" i="3"/>
  <c r="J17" i="6"/>
  <c r="G18" i="6"/>
  <c r="V32" i="3"/>
  <c r="V42" i="3"/>
  <c r="V56" i="3"/>
  <c r="K17" i="6"/>
  <c r="T25" i="3"/>
  <c r="V36" i="3"/>
  <c r="T45" i="3"/>
  <c r="T114" i="3"/>
  <c r="V162" i="3"/>
  <c r="J18" i="6"/>
  <c r="G19" i="6"/>
  <c r="AG6" i="3"/>
  <c r="V61" i="3"/>
  <c r="V77" i="3"/>
  <c r="D19" i="1"/>
  <c r="E21" i="1"/>
  <c r="E23" i="1"/>
  <c r="T20" i="3"/>
  <c r="V44" i="3"/>
  <c r="G74" i="3"/>
  <c r="W74" i="3" s="1"/>
  <c r="V90" i="3"/>
  <c r="V163" i="3"/>
  <c r="T183" i="3"/>
  <c r="V186" i="3"/>
  <c r="T199" i="3"/>
  <c r="F13" i="3"/>
  <c r="F17" i="1" s="1"/>
  <c r="J17" i="1" s="1"/>
  <c r="E15" i="1"/>
  <c r="T37" i="3"/>
  <c r="T49" i="3"/>
  <c r="T64" i="3"/>
  <c r="V106" i="3"/>
  <c r="S6" i="3"/>
  <c r="U6" i="3" s="1"/>
  <c r="G61" i="3"/>
  <c r="W61" i="3" s="1"/>
  <c r="G77" i="3"/>
  <c r="W77" i="3" s="1"/>
  <c r="D18" i="1"/>
  <c r="D20" i="1"/>
  <c r="E22" i="1"/>
  <c r="T9" i="3"/>
  <c r="G22" i="3"/>
  <c r="W22" i="3" s="1"/>
  <c r="T53" i="3"/>
  <c r="V54" i="3"/>
  <c r="T60" i="3"/>
  <c r="V94" i="3"/>
  <c r="V110" i="3"/>
  <c r="T130" i="3"/>
  <c r="T146" i="3"/>
  <c r="G163" i="3"/>
  <c r="W163" i="3" s="1"/>
  <c r="G186" i="3"/>
  <c r="W186" i="3" s="1"/>
  <c r="V190" i="3"/>
  <c r="V40" i="3"/>
  <c r="T162" i="3"/>
  <c r="T178" i="3"/>
  <c r="T195" i="3"/>
  <c r="V202" i="3"/>
  <c r="V46" i="3"/>
  <c r="V52" i="3"/>
  <c r="V130" i="3"/>
  <c r="V146" i="3"/>
  <c r="G16" i="3"/>
  <c r="T16" i="3"/>
  <c r="T14" i="3"/>
  <c r="T13" i="3"/>
  <c r="G20" i="3"/>
  <c r="W20" i="3" s="1"/>
  <c r="G26" i="3"/>
  <c r="W26" i="3" s="1"/>
  <c r="T28" i="3"/>
  <c r="G29" i="3"/>
  <c r="W29" i="3" s="1"/>
  <c r="G30" i="3"/>
  <c r="W30" i="3" s="1"/>
  <c r="T32" i="3"/>
  <c r="G33" i="3"/>
  <c r="W33" i="3" s="1"/>
  <c r="G34" i="3"/>
  <c r="W34" i="3" s="1"/>
  <c r="T36" i="3"/>
  <c r="G37" i="3"/>
  <c r="W37" i="3" s="1"/>
  <c r="G38" i="3"/>
  <c r="W38" i="3" s="1"/>
  <c r="T40" i="3"/>
  <c r="G41" i="3"/>
  <c r="W41" i="3" s="1"/>
  <c r="G42" i="3"/>
  <c r="W42" i="3" s="1"/>
  <c r="T44" i="3"/>
  <c r="G45" i="3"/>
  <c r="W45" i="3" s="1"/>
  <c r="G46" i="3"/>
  <c r="W46" i="3" s="1"/>
  <c r="T48" i="3"/>
  <c r="G49" i="3"/>
  <c r="W49" i="3" s="1"/>
  <c r="G50" i="3"/>
  <c r="W50" i="3" s="1"/>
  <c r="T52" i="3"/>
  <c r="G53" i="3"/>
  <c r="W53" i="3" s="1"/>
  <c r="G54" i="3"/>
  <c r="W54" i="3" s="1"/>
  <c r="T56" i="3"/>
  <c r="G57" i="3"/>
  <c r="W57" i="3" s="1"/>
  <c r="G64" i="3"/>
  <c r="W64" i="3" s="1"/>
  <c r="V73" i="3"/>
  <c r="V74" i="3"/>
  <c r="T90" i="3"/>
  <c r="G91" i="3"/>
  <c r="W91" i="3" s="1"/>
  <c r="T95" i="3"/>
  <c r="G107" i="3"/>
  <c r="W107" i="3" s="1"/>
  <c r="T111" i="3"/>
  <c r="G123" i="3"/>
  <c r="W123" i="3" s="1"/>
  <c r="T127" i="3"/>
  <c r="G139" i="3"/>
  <c r="W139" i="3" s="1"/>
  <c r="T143" i="3"/>
  <c r="G155" i="3"/>
  <c r="W155" i="3" s="1"/>
  <c r="T159" i="3"/>
  <c r="V167" i="3"/>
  <c r="V171" i="3"/>
  <c r="G178" i="3"/>
  <c r="W178" i="3" s="1"/>
  <c r="T190" i="3"/>
  <c r="G191" i="3"/>
  <c r="W191" i="3" s="1"/>
  <c r="T194" i="3"/>
  <c r="G195" i="3"/>
  <c r="W195" i="3" s="1"/>
  <c r="T198" i="3"/>
  <c r="G199" i="3"/>
  <c r="W199" i="3" s="1"/>
  <c r="T202" i="3"/>
  <c r="G203" i="3"/>
  <c r="W203" i="3" s="1"/>
  <c r="S7" i="3"/>
  <c r="T7" i="3" s="1"/>
  <c r="U10" i="3"/>
  <c r="V10" i="3" s="1"/>
  <c r="G18" i="3"/>
  <c r="W18" i="3" s="1"/>
  <c r="G62" i="3"/>
  <c r="W62" i="3" s="1"/>
  <c r="G65" i="3"/>
  <c r="W65" i="3" s="1"/>
  <c r="G72" i="3"/>
  <c r="W72" i="3" s="1"/>
  <c r="G103" i="3"/>
  <c r="W103" i="3" s="1"/>
  <c r="G119" i="3"/>
  <c r="W119" i="3" s="1"/>
  <c r="G135" i="3"/>
  <c r="W135" i="3" s="1"/>
  <c r="G151" i="3"/>
  <c r="W151" i="3" s="1"/>
  <c r="G170" i="3"/>
  <c r="W170" i="3" s="1"/>
  <c r="G179" i="3"/>
  <c r="W179" i="3" s="1"/>
  <c r="G14" i="3"/>
  <c r="T21" i="3"/>
  <c r="V26" i="3"/>
  <c r="V30" i="3"/>
  <c r="V34" i="3"/>
  <c r="V38" i="3"/>
  <c r="G66" i="3"/>
  <c r="W66" i="3" s="1"/>
  <c r="G69" i="3"/>
  <c r="W69" i="3" s="1"/>
  <c r="G76" i="3"/>
  <c r="W76" i="3" s="1"/>
  <c r="T102" i="3"/>
  <c r="T118" i="3"/>
  <c r="V122" i="3"/>
  <c r="T134" i="3"/>
  <c r="V138" i="3"/>
  <c r="T150" i="3"/>
  <c r="V154" i="3"/>
  <c r="G175" i="3"/>
  <c r="W175" i="3" s="1"/>
  <c r="T17" i="3"/>
  <c r="V22" i="3"/>
  <c r="V58" i="3"/>
  <c r="T65" i="3"/>
  <c r="G70" i="3"/>
  <c r="W70" i="3" s="1"/>
  <c r="T72" i="3"/>
  <c r="G73" i="3"/>
  <c r="W73" i="3" s="1"/>
  <c r="V86" i="3"/>
  <c r="G99" i="3"/>
  <c r="W99" i="3" s="1"/>
  <c r="T103" i="3"/>
  <c r="G115" i="3"/>
  <c r="W115" i="3" s="1"/>
  <c r="T119" i="3"/>
  <c r="G131" i="3"/>
  <c r="W131" i="3" s="1"/>
  <c r="T135" i="3"/>
  <c r="G147" i="3"/>
  <c r="W147" i="3" s="1"/>
  <c r="T151" i="3"/>
  <c r="T166" i="3"/>
  <c r="G167" i="3"/>
  <c r="W167" i="3" s="1"/>
  <c r="T170" i="3"/>
  <c r="G171" i="3"/>
  <c r="W171" i="3" s="1"/>
  <c r="T179" i="3"/>
  <c r="V18" i="3"/>
  <c r="V62" i="3"/>
  <c r="T69" i="3"/>
  <c r="T76" i="3"/>
  <c r="V102" i="3"/>
  <c r="V118" i="3"/>
  <c r="V134" i="3"/>
  <c r="V150" i="3"/>
  <c r="T175" i="3"/>
  <c r="V66" i="3"/>
  <c r="G95" i="3"/>
  <c r="W95" i="3" s="1"/>
  <c r="T99" i="3"/>
  <c r="G111" i="3"/>
  <c r="W111" i="3" s="1"/>
  <c r="T115" i="3"/>
  <c r="G127" i="3"/>
  <c r="W127" i="3" s="1"/>
  <c r="T131" i="3"/>
  <c r="G143" i="3"/>
  <c r="W143" i="3" s="1"/>
  <c r="T147" i="3"/>
  <c r="V166" i="3"/>
  <c r="V70" i="3"/>
  <c r="T78" i="3"/>
  <c r="T94" i="3"/>
  <c r="V98" i="3"/>
  <c r="T110" i="3"/>
  <c r="V114" i="3"/>
  <c r="T126" i="3"/>
  <c r="T142" i="3"/>
  <c r="T158" i="3"/>
  <c r="G5" i="2"/>
  <c r="G6" i="2"/>
  <c r="G7" i="2"/>
  <c r="G8" i="2"/>
  <c r="G9" i="2"/>
  <c r="G10" i="2"/>
  <c r="G12" i="3"/>
  <c r="T12" i="3"/>
  <c r="T11" i="3"/>
  <c r="G11" i="3"/>
  <c r="H19" i="6" s="1"/>
  <c r="O19" i="6" s="1"/>
  <c r="W10" i="3"/>
  <c r="T10" i="3"/>
  <c r="Y10" i="3"/>
  <c r="B8" i="1"/>
  <c r="E20" i="1"/>
  <c r="E17" i="1"/>
  <c r="E19" i="1"/>
  <c r="D22" i="1"/>
  <c r="E18" i="1"/>
  <c r="D21" i="1"/>
  <c r="E24" i="1"/>
  <c r="E13" i="1"/>
  <c r="E14" i="1"/>
  <c r="H8" i="1"/>
  <c r="D13" i="1"/>
  <c r="G9" i="3"/>
  <c r="T6" i="3"/>
  <c r="X7" i="3"/>
  <c r="Y7" i="3" s="1"/>
  <c r="D23" i="1"/>
  <c r="J7" i="2"/>
  <c r="J9" i="2"/>
  <c r="J10" i="2" s="1"/>
  <c r="V160" i="3"/>
  <c r="T160" i="3"/>
  <c r="T173" i="3"/>
  <c r="G173" i="3"/>
  <c r="W173" i="3" s="1"/>
  <c r="V196" i="3"/>
  <c r="T196" i="3"/>
  <c r="G196" i="3"/>
  <c r="W196" i="3" s="1"/>
  <c r="D15" i="1"/>
  <c r="D16" i="1"/>
  <c r="D24" i="1"/>
  <c r="A5" i="2"/>
  <c r="A6" i="2"/>
  <c r="A7" i="2"/>
  <c r="A8" i="2"/>
  <c r="A9" i="2"/>
  <c r="A10" i="2"/>
  <c r="G79" i="3"/>
  <c r="W79" i="3" s="1"/>
  <c r="V80" i="3"/>
  <c r="T80" i="3"/>
  <c r="T81" i="3"/>
  <c r="G81" i="3"/>
  <c r="W81" i="3" s="1"/>
  <c r="G160" i="3"/>
  <c r="W160" i="3" s="1"/>
  <c r="V164" i="3"/>
  <c r="T164" i="3"/>
  <c r="G164" i="3"/>
  <c r="W164" i="3" s="1"/>
  <c r="V168" i="3"/>
  <c r="T168" i="3"/>
  <c r="G168" i="3"/>
  <c r="W168" i="3" s="1"/>
  <c r="T177" i="3"/>
  <c r="G177" i="3"/>
  <c r="W177" i="3" s="1"/>
  <c r="V200" i="3"/>
  <c r="T200" i="3"/>
  <c r="G200" i="3"/>
  <c r="W200" i="3" s="1"/>
  <c r="E16" i="1"/>
  <c r="D17" i="1"/>
  <c r="B5" i="2"/>
  <c r="B6" i="2"/>
  <c r="B7" i="2"/>
  <c r="B8" i="2"/>
  <c r="B9" i="2"/>
  <c r="B10" i="2"/>
  <c r="G8" i="3"/>
  <c r="G15" i="3"/>
  <c r="G19" i="3"/>
  <c r="W19" i="3" s="1"/>
  <c r="V21" i="3"/>
  <c r="G23" i="3"/>
  <c r="W23" i="3" s="1"/>
  <c r="V25" i="3"/>
  <c r="G27" i="3"/>
  <c r="W27" i="3" s="1"/>
  <c r="G31" i="3"/>
  <c r="W31" i="3" s="1"/>
  <c r="G35" i="3"/>
  <c r="W35" i="3" s="1"/>
  <c r="G39" i="3"/>
  <c r="W39" i="3" s="1"/>
  <c r="G43" i="3"/>
  <c r="W43" i="3" s="1"/>
  <c r="G47" i="3"/>
  <c r="W47" i="3" s="1"/>
  <c r="G51" i="3"/>
  <c r="W51" i="3" s="1"/>
  <c r="G55" i="3"/>
  <c r="W55" i="3" s="1"/>
  <c r="G59" i="3"/>
  <c r="W59" i="3" s="1"/>
  <c r="G63" i="3"/>
  <c r="W63" i="3" s="1"/>
  <c r="G67" i="3"/>
  <c r="W67" i="3" s="1"/>
  <c r="G71" i="3"/>
  <c r="W71" i="3" s="1"/>
  <c r="G75" i="3"/>
  <c r="W75" i="3" s="1"/>
  <c r="G80" i="3"/>
  <c r="W80" i="3" s="1"/>
  <c r="V172" i="3"/>
  <c r="T172" i="3"/>
  <c r="G172" i="3"/>
  <c r="W172" i="3" s="1"/>
  <c r="T181" i="3"/>
  <c r="G181" i="3"/>
  <c r="W181" i="3" s="1"/>
  <c r="C5" i="2"/>
  <c r="C6" i="2"/>
  <c r="C7" i="2"/>
  <c r="C8" i="2"/>
  <c r="C9" i="2"/>
  <c r="C10" i="2"/>
  <c r="V78" i="3"/>
  <c r="T79" i="3"/>
  <c r="T82" i="3"/>
  <c r="G83" i="3"/>
  <c r="W83" i="3" s="1"/>
  <c r="V84" i="3"/>
  <c r="T84" i="3"/>
  <c r="T85" i="3"/>
  <c r="G85" i="3"/>
  <c r="W85" i="3" s="1"/>
  <c r="V173" i="3"/>
  <c r="V176" i="3"/>
  <c r="T176" i="3"/>
  <c r="G176" i="3"/>
  <c r="W176" i="3" s="1"/>
  <c r="T185" i="3"/>
  <c r="G185" i="3"/>
  <c r="W185" i="3" s="1"/>
  <c r="D5" i="2"/>
  <c r="D6" i="2"/>
  <c r="D7" i="2"/>
  <c r="D8" i="2"/>
  <c r="D9" i="2"/>
  <c r="D10" i="2"/>
  <c r="T8" i="3"/>
  <c r="T15" i="3"/>
  <c r="T19" i="3"/>
  <c r="T23" i="3"/>
  <c r="T27" i="3"/>
  <c r="T31" i="3"/>
  <c r="T35" i="3"/>
  <c r="T39" i="3"/>
  <c r="T43" i="3"/>
  <c r="T47" i="3"/>
  <c r="T51" i="3"/>
  <c r="T55" i="3"/>
  <c r="T59" i="3"/>
  <c r="T63" i="3"/>
  <c r="T67" i="3"/>
  <c r="T71" i="3"/>
  <c r="T75" i="3"/>
  <c r="V81" i="3"/>
  <c r="V177" i="3"/>
  <c r="V180" i="3"/>
  <c r="T180" i="3"/>
  <c r="G180" i="3"/>
  <c r="W180" i="3" s="1"/>
  <c r="T189" i="3"/>
  <c r="G189" i="3"/>
  <c r="W189" i="3" s="1"/>
  <c r="E5" i="2"/>
  <c r="E6" i="2"/>
  <c r="E7" i="2"/>
  <c r="E8" i="2"/>
  <c r="E9" i="2"/>
  <c r="E10" i="2"/>
  <c r="V82" i="3"/>
  <c r="T83" i="3"/>
  <c r="T86" i="3"/>
  <c r="G87" i="3"/>
  <c r="W87" i="3" s="1"/>
  <c r="V88" i="3"/>
  <c r="T88" i="3"/>
  <c r="T89" i="3"/>
  <c r="G89" i="3"/>
  <c r="W89" i="3" s="1"/>
  <c r="V181" i="3"/>
  <c r="V184" i="3"/>
  <c r="T184" i="3"/>
  <c r="G184" i="3"/>
  <c r="W184" i="3" s="1"/>
  <c r="T193" i="3"/>
  <c r="G193" i="3"/>
  <c r="W193" i="3" s="1"/>
  <c r="F5" i="2"/>
  <c r="F6" i="2"/>
  <c r="F7" i="2"/>
  <c r="F8" i="2"/>
  <c r="F9" i="2"/>
  <c r="V92" i="3"/>
  <c r="T92" i="3"/>
  <c r="T93" i="3"/>
  <c r="G93" i="3"/>
  <c r="W93" i="3" s="1"/>
  <c r="T97" i="3"/>
  <c r="G97" i="3"/>
  <c r="W97" i="3" s="1"/>
  <c r="T101" i="3"/>
  <c r="G101" i="3"/>
  <c r="W101" i="3" s="1"/>
  <c r="T105" i="3"/>
  <c r="G105" i="3"/>
  <c r="W105" i="3" s="1"/>
  <c r="T109" i="3"/>
  <c r="G109" i="3"/>
  <c r="W109" i="3" s="1"/>
  <c r="T113" i="3"/>
  <c r="G113" i="3"/>
  <c r="W113" i="3" s="1"/>
  <c r="T117" i="3"/>
  <c r="G117" i="3"/>
  <c r="W117" i="3" s="1"/>
  <c r="T121" i="3"/>
  <c r="G121" i="3"/>
  <c r="W121" i="3" s="1"/>
  <c r="T125" i="3"/>
  <c r="G125" i="3"/>
  <c r="W125" i="3" s="1"/>
  <c r="T129" i="3"/>
  <c r="G129" i="3"/>
  <c r="W129" i="3" s="1"/>
  <c r="T133" i="3"/>
  <c r="G133" i="3"/>
  <c r="W133" i="3" s="1"/>
  <c r="T137" i="3"/>
  <c r="G137" i="3"/>
  <c r="W137" i="3" s="1"/>
  <c r="T141" i="3"/>
  <c r="G141" i="3"/>
  <c r="W141" i="3" s="1"/>
  <c r="T145" i="3"/>
  <c r="G145" i="3"/>
  <c r="W145" i="3" s="1"/>
  <c r="T149" i="3"/>
  <c r="G149" i="3"/>
  <c r="W149" i="3" s="1"/>
  <c r="T153" i="3"/>
  <c r="G153" i="3"/>
  <c r="W153" i="3" s="1"/>
  <c r="T157" i="3"/>
  <c r="G157" i="3"/>
  <c r="W157" i="3" s="1"/>
  <c r="V188" i="3"/>
  <c r="T188" i="3"/>
  <c r="G188" i="3"/>
  <c r="W188" i="3" s="1"/>
  <c r="T197" i="3"/>
  <c r="G197" i="3"/>
  <c r="W197" i="3" s="1"/>
  <c r="T87" i="3"/>
  <c r="V96" i="3"/>
  <c r="T96" i="3"/>
  <c r="V100" i="3"/>
  <c r="T100" i="3"/>
  <c r="V104" i="3"/>
  <c r="T104" i="3"/>
  <c r="V108" i="3"/>
  <c r="T108" i="3"/>
  <c r="V112" i="3"/>
  <c r="T112" i="3"/>
  <c r="V116" i="3"/>
  <c r="T116" i="3"/>
  <c r="V120" i="3"/>
  <c r="T120" i="3"/>
  <c r="V124" i="3"/>
  <c r="T124" i="3"/>
  <c r="V128" i="3"/>
  <c r="T128" i="3"/>
  <c r="V132" i="3"/>
  <c r="T132" i="3"/>
  <c r="V136" i="3"/>
  <c r="T136" i="3"/>
  <c r="V140" i="3"/>
  <c r="T140" i="3"/>
  <c r="V144" i="3"/>
  <c r="T144" i="3"/>
  <c r="V148" i="3"/>
  <c r="T148" i="3"/>
  <c r="V152" i="3"/>
  <c r="T152" i="3"/>
  <c r="V156" i="3"/>
  <c r="T156" i="3"/>
  <c r="T161" i="3"/>
  <c r="G161" i="3"/>
  <c r="W161" i="3" s="1"/>
  <c r="T165" i="3"/>
  <c r="G165" i="3"/>
  <c r="W165" i="3" s="1"/>
  <c r="T169" i="3"/>
  <c r="G169" i="3"/>
  <c r="W169" i="3" s="1"/>
  <c r="V189" i="3"/>
  <c r="V192" i="3"/>
  <c r="T192" i="3"/>
  <c r="G192" i="3"/>
  <c r="W192" i="3" s="1"/>
  <c r="T201" i="3"/>
  <c r="G201" i="3"/>
  <c r="W201" i="3" s="1"/>
  <c r="W17" i="3" l="1"/>
  <c r="N15" i="6"/>
  <c r="O15" i="6"/>
  <c r="V6" i="3"/>
  <c r="W6" i="3"/>
  <c r="F6" i="6"/>
  <c r="F10" i="6"/>
  <c r="M15" i="6"/>
  <c r="L15" i="6"/>
  <c r="F14" i="6"/>
  <c r="F5" i="6"/>
  <c r="F11" i="6"/>
  <c r="F13" i="6"/>
  <c r="F9" i="6"/>
  <c r="F8" i="6"/>
  <c r="I8" i="6" s="1"/>
  <c r="F4" i="6"/>
  <c r="K4" i="6" s="1"/>
  <c r="N4" i="6" s="1"/>
  <c r="F12" i="6"/>
  <c r="F7" i="6"/>
  <c r="J7" i="6" s="1"/>
  <c r="H17" i="6"/>
  <c r="O17" i="6" s="1"/>
  <c r="F13" i="1"/>
  <c r="I7" i="6"/>
  <c r="F15" i="1"/>
  <c r="J15" i="1" s="1"/>
  <c r="I15" i="6"/>
  <c r="H15" i="6"/>
  <c r="G15" i="6"/>
  <c r="J15" i="6"/>
  <c r="K15" i="6"/>
  <c r="F19" i="1"/>
  <c r="J19" i="1" s="1"/>
  <c r="H18" i="6"/>
  <c r="O18" i="6" s="1"/>
  <c r="I6" i="6"/>
  <c r="H10" i="6"/>
  <c r="I10" i="6"/>
  <c r="F23" i="1"/>
  <c r="G5" i="6"/>
  <c r="J5" i="6"/>
  <c r="J11" i="6"/>
  <c r="I11" i="6"/>
  <c r="G11" i="6"/>
  <c r="G13" i="6"/>
  <c r="J13" i="6"/>
  <c r="J5" i="2"/>
  <c r="K9" i="6"/>
  <c r="J9" i="6"/>
  <c r="F21" i="1"/>
  <c r="B3" i="6" a="1"/>
  <c r="B3" i="6" s="1"/>
  <c r="G13" i="3"/>
  <c r="F16" i="1"/>
  <c r="J16" i="1" s="1"/>
  <c r="F20" i="1"/>
  <c r="J20" i="1" s="1"/>
  <c r="F24" i="1"/>
  <c r="F14" i="1"/>
  <c r="F18" i="1"/>
  <c r="J18" i="1" s="1"/>
  <c r="F22" i="1"/>
  <c r="Y16" i="3"/>
  <c r="U16" i="3"/>
  <c r="V16" i="3" s="1"/>
  <c r="W15" i="3"/>
  <c r="Y15" i="3"/>
  <c r="U15" i="3"/>
  <c r="V15" i="3" s="1"/>
  <c r="U14" i="3"/>
  <c r="W14" i="3" s="1"/>
  <c r="Y14" i="3"/>
  <c r="J6" i="2"/>
  <c r="U7" i="3"/>
  <c r="V7" i="3" s="1"/>
  <c r="U12" i="3"/>
  <c r="V12" i="3" s="1"/>
  <c r="Y12" i="3"/>
  <c r="U11" i="3"/>
  <c r="V11" i="3" s="1"/>
  <c r="Y11" i="3"/>
  <c r="E8" i="1"/>
  <c r="U9" i="3"/>
  <c r="V9" i="3" s="1"/>
  <c r="Y9" i="3"/>
  <c r="W9" i="3"/>
  <c r="W8" i="3"/>
  <c r="U8" i="3"/>
  <c r="V8" i="3" s="1"/>
  <c r="Y8" i="3"/>
  <c r="G18" i="1"/>
  <c r="G17" i="1"/>
  <c r="I17" i="1" s="1"/>
  <c r="G19" i="1"/>
  <c r="G24" i="1"/>
  <c r="G16" i="1"/>
  <c r="G13" i="1"/>
  <c r="G23" i="1"/>
  <c r="G15" i="1"/>
  <c r="G22" i="1"/>
  <c r="G14" i="1"/>
  <c r="G20" i="1"/>
  <c r="G21" i="1"/>
  <c r="I19" i="1" l="1"/>
  <c r="I14" i="1"/>
  <c r="I21" i="1"/>
  <c r="J21" i="1" s="1"/>
  <c r="J8" i="2"/>
  <c r="I22" i="1"/>
  <c r="J22" i="1" s="1"/>
  <c r="O12" i="6"/>
  <c r="P12" i="6"/>
  <c r="O13" i="6"/>
  <c r="P13" i="6"/>
  <c r="M10" i="6"/>
  <c r="P10" i="6"/>
  <c r="H8" i="6"/>
  <c r="G8" i="6"/>
  <c r="H11" i="6"/>
  <c r="P11" i="6"/>
  <c r="J14" i="6"/>
  <c r="P14" i="6"/>
  <c r="I13" i="6"/>
  <c r="G14" i="6"/>
  <c r="H14" i="6"/>
  <c r="G12" i="6"/>
  <c r="I4" i="6"/>
  <c r="K8" i="6"/>
  <c r="I14" i="6"/>
  <c r="I12" i="6"/>
  <c r="J4" i="6"/>
  <c r="I9" i="6"/>
  <c r="K6" i="6"/>
  <c r="L10" i="6"/>
  <c r="N14" i="6"/>
  <c r="O14" i="6"/>
  <c r="K14" i="6"/>
  <c r="G7" i="6"/>
  <c r="K11" i="6"/>
  <c r="H7" i="6"/>
  <c r="I18" i="1"/>
  <c r="G9" i="6"/>
  <c r="K10" i="6"/>
  <c r="J6" i="6"/>
  <c r="K7" i="6"/>
  <c r="H9" i="6"/>
  <c r="I5" i="6"/>
  <c r="G10" i="6"/>
  <c r="H12" i="6"/>
  <c r="N12" i="6"/>
  <c r="H5" i="6"/>
  <c r="G4" i="6"/>
  <c r="K5" i="6"/>
  <c r="G6" i="6"/>
  <c r="H4" i="6"/>
  <c r="N13" i="6"/>
  <c r="I15" i="1"/>
  <c r="J8" i="6"/>
  <c r="J10" i="6"/>
  <c r="H6" i="6"/>
  <c r="H13" i="6"/>
  <c r="K12" i="6"/>
  <c r="M8" i="6"/>
  <c r="L8" i="6"/>
  <c r="I16" i="1"/>
  <c r="M9" i="6"/>
  <c r="L9" i="6"/>
  <c r="N9" i="6" s="1"/>
  <c r="M13" i="6"/>
  <c r="L13" i="6"/>
  <c r="K13" i="6"/>
  <c r="M11" i="6"/>
  <c r="L11" i="6"/>
  <c r="N11" i="6" s="1"/>
  <c r="M7" i="6"/>
  <c r="L7" i="6"/>
  <c r="M14" i="6"/>
  <c r="L14" i="6"/>
  <c r="M12" i="6"/>
  <c r="L12" i="6"/>
  <c r="J12" i="6"/>
  <c r="O11" i="6"/>
  <c r="I23" i="1"/>
  <c r="J23" i="1" s="1"/>
  <c r="I20" i="1"/>
  <c r="I24" i="1"/>
  <c r="J24" i="1" s="1"/>
  <c r="U13" i="3"/>
  <c r="Y13" i="3"/>
  <c r="J14" i="1"/>
  <c r="B5" i="1"/>
  <c r="K8" i="1" s="1"/>
  <c r="W16" i="3"/>
  <c r="W7" i="3"/>
  <c r="N3" i="1"/>
  <c r="V14" i="3"/>
  <c r="W12" i="3"/>
  <c r="W11" i="3"/>
  <c r="E5" i="1"/>
  <c r="I13" i="1"/>
  <c r="N7" i="6" l="1"/>
  <c r="P9" i="6"/>
  <c r="P8" i="6"/>
  <c r="P7" i="6"/>
  <c r="P6" i="6"/>
  <c r="P5" i="6"/>
  <c r="P4" i="6"/>
  <c r="N5" i="6"/>
  <c r="N6" i="6"/>
  <c r="O5" i="6"/>
  <c r="O4" i="6"/>
  <c r="O7" i="6"/>
  <c r="O8" i="6"/>
  <c r="O10" i="6"/>
  <c r="N10" i="6"/>
  <c r="N8" i="6"/>
  <c r="O6" i="6"/>
  <c r="O9" i="6"/>
  <c r="W13" i="3"/>
  <c r="V13" i="3"/>
  <c r="K5" i="1"/>
  <c r="J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Renato.Neves</author>
  </authors>
  <commentList>
    <comment ref="P6" authorId="0" shapeId="0" xr:uid="{00000000-0006-0000-0200-000001000000}">
      <text>
        <r>
          <rPr>
            <sz val="11"/>
            <rFont val="Carlito"/>
          </rPr>
          <t>Renato.Neves:
2 janelas da frente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Renato.Neves</author>
  </authors>
  <commentList>
    <comment ref="E3" authorId="0" shapeId="0" xr:uid="{62588A23-1D47-4B24-B09E-D6BA54470A05}">
      <text>
        <r>
          <rPr>
            <b/>
            <sz val="9"/>
            <color indexed="81"/>
            <rFont val="Segoe UI"/>
            <family val="2"/>
          </rPr>
          <t>Renato.Neves:</t>
        </r>
        <r>
          <rPr>
            <sz val="9"/>
            <color indexed="81"/>
            <rFont val="Segoe UI"/>
            <family val="2"/>
          </rPr>
          <t xml:space="preserve">
Novas locações do canal Direto aparecem automaticamente. Quando surgir 'Configurar pagamento', informe as condições de pagamento na área de parâmetros azuis.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<sst xmlns="http://schemas.openxmlformats.org/spreadsheetml/2006/main" count="252" uniqueCount="157">
  <si>
    <t>PAINEL FINANCEIRO E DE OCUPAÇÃO</t>
  </si>
  <si>
    <t>Ano</t>
  </si>
  <si>
    <t>A receber (R$)</t>
  </si>
  <si>
    <t>Receita bruta (R$)</t>
  </si>
  <si>
    <t>Custos diretos (R$)</t>
  </si>
  <si>
    <t>Despesas gerais (R$)</t>
  </si>
  <si>
    <t>Lucro final (R$)</t>
  </si>
  <si>
    <t>Diárias alugadas</t>
  </si>
  <si>
    <t>Dias disponíveis</t>
  </si>
  <si>
    <t>Ocupação anual</t>
  </si>
  <si>
    <t>Diária média (R$)</t>
  </si>
  <si>
    <t>Mês</t>
  </si>
  <si>
    <t>Dias</t>
  </si>
  <si>
    <t>Alugadas</t>
  </si>
  <si>
    <t>Disponíveis</t>
  </si>
  <si>
    <t>Ocupação</t>
  </si>
  <si>
    <t>Receita (R$)</t>
  </si>
  <si>
    <t>Margem</t>
  </si>
  <si>
    <t>EXEMPLO CADASTRADO</t>
  </si>
  <si>
    <t>Janeiro</t>
  </si>
  <si>
    <t>Período</t>
  </si>
  <si>
    <t>25/12/2026 a 04/01/2027</t>
  </si>
  <si>
    <t>Fevereiro</t>
  </si>
  <si>
    <t>Diárias</t>
  </si>
  <si>
    <t>Março</t>
  </si>
  <si>
    <t>Valor diária</t>
  </si>
  <si>
    <t>Abril</t>
  </si>
  <si>
    <t>Receita total</t>
  </si>
  <si>
    <t>Maio</t>
  </si>
  <si>
    <t>Rateio</t>
  </si>
  <si>
    <t>Dez/26: R$ 7.700 | Jan/27: R$ 3.300</t>
  </si>
  <si>
    <t>Junho</t>
  </si>
  <si>
    <t>Julho</t>
  </si>
  <si>
    <t>Agosto</t>
  </si>
  <si>
    <t>Setembro</t>
  </si>
  <si>
    <t>Outubro</t>
  </si>
  <si>
    <t>Novembro</t>
  </si>
  <si>
    <t>Dezembro</t>
  </si>
  <si>
    <t>AGENDA — DISPONIBILIDADE DA CASA</t>
  </si>
  <si>
    <t>Nº mês</t>
  </si>
  <si>
    <t>SEG</t>
  </si>
  <si>
    <t>TER</t>
  </si>
  <si>
    <t>QUA</t>
  </si>
  <si>
    <t>QUI</t>
  </si>
  <si>
    <t>SEX</t>
  </si>
  <si>
    <t>SÁB</t>
  </si>
  <si>
    <t>DOM</t>
  </si>
  <si>
    <t>RESUMO DO MÊS</t>
  </si>
  <si>
    <t>LEGENDA</t>
  </si>
  <si>
    <t>DISPONÍVEL</t>
  </si>
  <si>
    <t>Dia livre</t>
  </si>
  <si>
    <t>ALUGADA</t>
  </si>
  <si>
    <t>Dia ocupado</t>
  </si>
  <si>
    <t>CONFLITO</t>
  </si>
  <si>
    <t>Reservas sobrepostas</t>
  </si>
  <si>
    <t>RESERVAS — CONTROLE AUTOMÁTICO DE LOCAÇÃO</t>
  </si>
  <si>
    <t>ID</t>
  </si>
  <si>
    <t>Cliente / hóspede</t>
  </si>
  <si>
    <t>Entrada</t>
  </si>
  <si>
    <t>Saída</t>
  </si>
  <si>
    <t>Valor diária (R$)</t>
  </si>
  <si>
    <t>Período / motivo</t>
  </si>
  <si>
    <t>Status</t>
  </si>
  <si>
    <t>Canal</t>
  </si>
  <si>
    <t>Água (R$)</t>
  </si>
  <si>
    <t>Luz (R$)</t>
  </si>
  <si>
    <t>Limpeza (R$)</t>
  </si>
  <si>
    <t>Diarista (R$)</t>
  </si>
  <si>
    <t>Manutenção (R$)</t>
  </si>
  <si>
    <t>Investimento / reposição (R$)</t>
  </si>
  <si>
    <t>Taxas / comissão (R$)</t>
  </si>
  <si>
    <t>Outros custos (R$)</t>
  </si>
  <si>
    <t>Custo por diária (R$)</t>
  </si>
  <si>
    <t>Lucro líquido (R$)</t>
  </si>
  <si>
    <t>Lucro por diária (R$)</t>
  </si>
  <si>
    <t>Margem líquida</t>
  </si>
  <si>
    <t>Valor recebido (R$)</t>
  </si>
  <si>
    <t>Saldo a receber (R$)</t>
  </si>
  <si>
    <t>Alerta</t>
  </si>
  <si>
    <t>Observações</t>
  </si>
  <si>
    <t>Carlos - Natal/Ano Novo</t>
  </si>
  <si>
    <t>Natal / Réveillon</t>
  </si>
  <si>
    <t>Confirmada</t>
  </si>
  <si>
    <t>Direto</t>
  </si>
  <si>
    <t>25/12/2026 a 04/01/2027 = 10 diárias</t>
  </si>
  <si>
    <t>Regina - 7 de Setembro</t>
  </si>
  <si>
    <t>Feriado</t>
  </si>
  <si>
    <t>Airbnb</t>
  </si>
  <si>
    <t>Louis Renan - Férias</t>
  </si>
  <si>
    <t>Normal</t>
  </si>
  <si>
    <t>Cortesia</t>
  </si>
  <si>
    <t>DESPESAS GERAIS DA CASA</t>
  </si>
  <si>
    <t>Registre aqui as despesas da casa. Quando uma despesa pertencer a uma locação, selecione o ID em "Reserva relacionada (ID)". O valor será incorporado automaticamente aos custos, lucro e demais indicadores daquela locação. Deixe o ID em branco quando a despesa for geral da casa.</t>
  </si>
  <si>
    <t>Data</t>
  </si>
  <si>
    <t>Categoria</t>
  </si>
  <si>
    <t>Descrição</t>
  </si>
  <si>
    <t>Valor</t>
  </si>
  <si>
    <t>Reserva relacionada (ID)</t>
  </si>
  <si>
    <t xml:space="preserve"> </t>
  </si>
  <si>
    <t>LOC-001</t>
  </si>
  <si>
    <t>LISTAS DE APOIO</t>
  </si>
  <si>
    <t>Nº</t>
  </si>
  <si>
    <t>Consulta</t>
  </si>
  <si>
    <t>Pré-reserva</t>
  </si>
  <si>
    <t>Booking</t>
  </si>
  <si>
    <t>Natal</t>
  </si>
  <si>
    <t>Concluída</t>
  </si>
  <si>
    <t>Imobiliária</t>
  </si>
  <si>
    <t>Réveillon</t>
  </si>
  <si>
    <t>Cancelada</t>
  </si>
  <si>
    <t>Indicação</t>
  </si>
  <si>
    <t>Carnaval</t>
  </si>
  <si>
    <t>Outro</t>
  </si>
  <si>
    <t>Páscoa</t>
  </si>
  <si>
    <t>Temporada de verão</t>
  </si>
  <si>
    <t>Final de semana prolongado</t>
  </si>
  <si>
    <t>Evento local</t>
  </si>
  <si>
    <t>Preencha apenas as células amarelas. O restante é calculado automaticamente. A data de saída (check-out) não conta como diária. Datas já comprometidas ficam BLOQUEADAS para novos lançamentos, inclusive coincidência com entrada ou saída de outra reserva. Preencha também o campo Imóvel com Casa Cinza ou Casa Laranja.</t>
  </si>
  <si>
    <t>Imóvel</t>
  </si>
  <si>
    <t>Casa Cinza</t>
  </si>
  <si>
    <t>Casa Laranja</t>
  </si>
  <si>
    <t>Miguel - Ano Novo</t>
  </si>
  <si>
    <t>Miguel - Férias</t>
  </si>
  <si>
    <t xml:space="preserve">Férias </t>
  </si>
  <si>
    <t>Férias</t>
  </si>
  <si>
    <t>Luiz Moran</t>
  </si>
  <si>
    <t>Rodrigo Sengik</t>
  </si>
  <si>
    <t>Gean Michel</t>
  </si>
  <si>
    <t>Renan Brito</t>
  </si>
  <si>
    <t>Nicole</t>
  </si>
  <si>
    <t>Adultos</t>
  </si>
  <si>
    <t>Crinças</t>
  </si>
  <si>
    <t>Total</t>
  </si>
  <si>
    <t>Média de pessoas</t>
  </si>
  <si>
    <t>ID da locação</t>
  </si>
  <si>
    <t>Valor (R$)</t>
  </si>
  <si>
    <t>Hóspede</t>
  </si>
  <si>
    <t>CONTROLE DE PAGAMENTOS</t>
  </si>
  <si>
    <t>Total contrato</t>
  </si>
  <si>
    <t>Parcela</t>
  </si>
  <si>
    <t>Vencimento</t>
  </si>
  <si>
    <t>Valor previsto</t>
  </si>
  <si>
    <t>Valor pago</t>
  </si>
  <si>
    <t>Data pagamento</t>
  </si>
  <si>
    <t>Saldo em aberto</t>
  </si>
  <si>
    <t>PARÂMETROS EDITÁVEIS</t>
  </si>
  <si>
    <t>CARLOS</t>
  </si>
  <si>
    <t>Valor / Data</t>
  </si>
  <si>
    <t>Primeiro vencimento</t>
  </si>
  <si>
    <t>Parcela mensal</t>
  </si>
  <si>
    <t>Quantidade parcelas</t>
  </si>
  <si>
    <t>MIGUEL</t>
  </si>
  <si>
    <t>LOC-005</t>
  </si>
  <si>
    <t>LOC-006</t>
  </si>
  <si>
    <t>Situação do controle</t>
  </si>
  <si>
    <t>Alerta prazo</t>
  </si>
  <si>
    <t>Ana 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</si>
</sst>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R\$\ #,##0.00;[Red]\-\R\$\ #,##0.00;\R\$\ 0.00"/>
    <numFmt numFmtId="165" formatCode="0.0%"/>
    <numFmt numFmtId="166" formatCode="\R\$\ #,##0.00"/>
    <numFmt numFmtId="167" formatCode="0;[Red]\-0;;"/>
    <numFmt numFmtId="168" formatCode="\R\$\ #,##0.00;[Red]\-\R\$\ #,##0.00;;"/>
    <numFmt numFmtId="169" formatCode="0.0%;[Red]\-0.0%;;"/>
    <numFmt numFmtId="170" formatCode="[$R$-416]\ #,##0.00;[Red]\-[$R$-416]\ #,##0.00;;"/>
  </numFmts>
  <fonts count="3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E40AF"/>
      <name val="Carlito"/>
    </font>
    <font>
      <sz val="11"/>
      <color rgb="FF1D4ED8"/>
      <name val="Carlito"/>
    </font>
    <font>
      <b/>
      <sz val="11"/>
      <color rgb="FF1D4ED8"/>
      <name val="Carlito"/>
    </font>
    <font>
      <b/>
      <sz val="12"/>
      <color rgb="FF166534"/>
      <name val="Carlito"/>
    </font>
    <font>
      <b/>
      <sz val="12"/>
      <color rgb="FF92400E"/>
      <name val="Carlito"/>
    </font>
    <font>
      <b/>
      <sz val="12"/>
      <color rgb="FF6B21A8"/>
      <name val="Carlito"/>
    </font>
    <font>
      <b/>
      <sz val="12"/>
      <color rgb="FF1E40AF"/>
      <name val="Carlito"/>
    </font>
    <font>
      <b/>
      <sz val="11"/>
      <color rgb="FF92400E"/>
      <name val="Carlito"/>
    </font>
    <font>
      <sz val="9"/>
      <color rgb="FF9CA3AF"/>
      <name val="Carlito"/>
    </font>
    <font>
      <b/>
      <sz val="11"/>
      <name val="Carlito"/>
    </font>
    <font>
      <b/>
      <sz val="11"/>
      <color rgb="FF111827"/>
      <name val="Carlito"/>
    </font>
    <font>
      <b/>
      <sz val="11"/>
      <color rgb="FF1E40AF"/>
      <name val="Carlito"/>
    </font>
    <font>
      <b/>
      <sz val="11"/>
      <color rgb="FF166534"/>
      <name val="Carlito"/>
    </font>
    <font>
      <b/>
      <sz val="11"/>
      <color rgb="FF991B1B"/>
      <name val="Carlito"/>
    </font>
    <font>
      <b/>
      <sz val="18"/>
      <color rgb="FF92400E"/>
      <name val="Carlito"/>
    </font>
    <font>
      <b/>
      <sz val="16"/>
      <color theme="1"/>
      <name val="Carlito"/>
    </font>
    <font>
      <b/>
      <sz val="14"/>
      <name val="Carlito"/>
    </font>
    <font>
      <b/>
      <sz val="16"/>
      <color rgb="FF166534"/>
      <name val="Carlito"/>
    </font>
    <font>
      <b/>
      <sz val="12"/>
      <name val="Carlito"/>
    </font>
    <font>
      <b/>
      <sz val="14"/>
      <color rgb="FFFFFFFF"/>
      <name val="Carlito"/>
    </font>
    <font>
      <sz val="11"/>
      <color rgb="FF000000"/>
      <name val="Carlito"/>
    </font>
    <font>
      <b/>
      <sz val="12"/>
      <color rgb="FFFFFFFF"/>
      <name val="Carlito"/>
    </font>
    <font>
      <b/>
      <sz val="11"/>
      <color rgb="FF000000"/>
      <name val="Carlito"/>
    </font>
    <font>
      <sz val="11"/>
      <color rgb="FF008000"/>
      <name val="Carlito"/>
    </font>
    <font>
      <sz val="11"/>
      <color rgb="FF0070C0"/>
      <name val="Carlito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FF7D6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FFF2CC"/>
      </patternFill>
    </fill>
    <fill>
      <patternFill patternType="solid">
        <fgColor rgb="FFF2F6FA"/>
      </patternFill>
    </fill>
    <fill>
      <patternFill patternType="solid">
        <fgColor rgb="FFFFFF00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3E5"/>
        <bgColor indexed="64"/>
      </patternFill>
    </fill>
  </fills>
  <borders count="24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ck">
        <color rgb="FF1D2330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3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5" fillId="5" borderId="0" xfId="0" applyFont="1" applyFill="1"/>
    <xf numFmtId="0" fontId="2" fillId="2" borderId="1" xfId="0" applyFont="1" applyFill="1" applyBorder="1"/>
    <xf numFmtId="164" fontId="6" fillId="6" borderId="2" xfId="0" applyNumberFormat="1" applyFont="1" applyFill="1" applyBorder="1"/>
    <xf numFmtId="164" fontId="7" fillId="7" borderId="2" xfId="0" applyNumberFormat="1" applyFont="1" applyFill="1" applyBorder="1"/>
    <xf numFmtId="164" fontId="8" fillId="8" borderId="2" xfId="0" applyNumberFormat="1" applyFont="1" applyFill="1" applyBorder="1"/>
    <xf numFmtId="1" fontId="9" fillId="4" borderId="2" xfId="0" applyNumberFormat="1" applyFont="1" applyFill="1" applyBorder="1"/>
    <xf numFmtId="165" fontId="9" fillId="4" borderId="2" xfId="0" applyNumberFormat="1" applyFont="1" applyFill="1" applyBorder="1"/>
    <xf numFmtId="1" fontId="0" fillId="0" borderId="0" xfId="0" applyNumberFormat="1"/>
    <xf numFmtId="0" fontId="0" fillId="0" borderId="4" xfId="0" applyBorder="1"/>
    <xf numFmtId="165" fontId="0" fillId="0" borderId="5" xfId="0" applyNumberFormat="1" applyBorder="1"/>
    <xf numFmtId="0" fontId="0" fillId="0" borderId="6" xfId="0" applyBorder="1"/>
    <xf numFmtId="1" fontId="0" fillId="0" borderId="7" xfId="0" applyNumberFormat="1" applyBorder="1"/>
    <xf numFmtId="165" fontId="0" fillId="0" borderId="7" xfId="0" applyNumberFormat="1" applyBorder="1"/>
    <xf numFmtId="164" fontId="0" fillId="0" borderId="7" xfId="0" applyNumberFormat="1" applyBorder="1"/>
    <xf numFmtId="165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1" fillId="0" borderId="0" xfId="0" applyFont="1"/>
    <xf numFmtId="0" fontId="12" fillId="0" borderId="9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3" fillId="9" borderId="1" xfId="0" applyFont="1" applyFill="1" applyBorder="1"/>
    <xf numFmtId="164" fontId="0" fillId="0" borderId="2" xfId="0" applyNumberFormat="1" applyBorder="1"/>
    <xf numFmtId="1" fontId="0" fillId="0" borderId="2" xfId="0" applyNumberFormat="1" applyBorder="1"/>
    <xf numFmtId="165" fontId="0" fillId="0" borderId="2" xfId="0" applyNumberFormat="1" applyBorder="1"/>
    <xf numFmtId="0" fontId="14" fillId="4" borderId="0" xfId="0" applyFont="1" applyFill="1"/>
    <xf numFmtId="0" fontId="15" fillId="6" borderId="0" xfId="0" applyFont="1" applyFill="1"/>
    <xf numFmtId="0" fontId="16" fillId="10" borderId="0" xfId="0" applyFont="1" applyFill="1"/>
    <xf numFmtId="166" fontId="0" fillId="0" borderId="0" xfId="0" applyNumberFormat="1"/>
    <xf numFmtId="0" fontId="4" fillId="11" borderId="0" xfId="0" applyFont="1" applyFill="1"/>
    <xf numFmtId="0" fontId="0" fillId="11" borderId="0" xfId="0" applyFill="1"/>
    <xf numFmtId="14" fontId="4" fillId="11" borderId="0" xfId="0" applyNumberFormat="1" applyFont="1" applyFill="1"/>
    <xf numFmtId="14" fontId="0" fillId="11" borderId="0" xfId="0" applyNumberFormat="1" applyFill="1"/>
    <xf numFmtId="168" fontId="4" fillId="11" borderId="0" xfId="0" applyNumberFormat="1" applyFont="1" applyFill="1"/>
    <xf numFmtId="168" fontId="0" fillId="11" borderId="0" xfId="0" applyNumberFormat="1" applyFill="1"/>
    <xf numFmtId="0" fontId="0" fillId="12" borderId="0" xfId="0" applyFill="1"/>
    <xf numFmtId="167" fontId="0" fillId="12" borderId="0" xfId="0" applyNumberFormat="1" applyFill="1"/>
    <xf numFmtId="168" fontId="0" fillId="12" borderId="0" xfId="0" applyNumberFormat="1" applyFill="1"/>
    <xf numFmtId="169" fontId="0" fillId="12" borderId="0" xfId="0" applyNumberFormat="1" applyFill="1"/>
    <xf numFmtId="0" fontId="0" fillId="12" borderId="12" xfId="0" applyFill="1" applyBorder="1"/>
    <xf numFmtId="0" fontId="4" fillId="11" borderId="13" xfId="0" applyFont="1" applyFill="1" applyBorder="1"/>
    <xf numFmtId="14" fontId="4" fillId="11" borderId="13" xfId="0" applyNumberFormat="1" applyFont="1" applyFill="1" applyBorder="1"/>
    <xf numFmtId="167" fontId="0" fillId="12" borderId="13" xfId="0" applyNumberFormat="1" applyFill="1" applyBorder="1"/>
    <xf numFmtId="168" fontId="4" fillId="11" borderId="13" xfId="0" applyNumberFormat="1" applyFont="1" applyFill="1" applyBorder="1"/>
    <xf numFmtId="168" fontId="0" fillId="12" borderId="13" xfId="0" applyNumberFormat="1" applyFill="1" applyBorder="1"/>
    <xf numFmtId="169" fontId="0" fillId="12" borderId="13" xfId="0" applyNumberFormat="1" applyFill="1" applyBorder="1"/>
    <xf numFmtId="0" fontId="0" fillId="12" borderId="13" xfId="0" applyFill="1" applyBorder="1"/>
    <xf numFmtId="0" fontId="4" fillId="11" borderId="14" xfId="0" applyFont="1" applyFill="1" applyBorder="1" applyAlignment="1">
      <alignment wrapText="1"/>
    </xf>
    <xf numFmtId="0" fontId="0" fillId="12" borderId="15" xfId="0" applyFill="1" applyBorder="1"/>
    <xf numFmtId="0" fontId="4" fillId="11" borderId="16" xfId="0" applyFont="1" applyFill="1" applyBorder="1" applyAlignment="1">
      <alignment wrapText="1"/>
    </xf>
    <xf numFmtId="0" fontId="0" fillId="11" borderId="16" xfId="0" applyFill="1" applyBorder="1"/>
    <xf numFmtId="0" fontId="0" fillId="12" borderId="17" xfId="0" applyFill="1" applyBorder="1"/>
    <xf numFmtId="0" fontId="0" fillId="11" borderId="18" xfId="0" applyFill="1" applyBorder="1"/>
    <xf numFmtId="14" fontId="0" fillId="11" borderId="18" xfId="0" applyNumberFormat="1" applyFill="1" applyBorder="1"/>
    <xf numFmtId="167" fontId="0" fillId="12" borderId="18" xfId="0" applyNumberFormat="1" applyFill="1" applyBorder="1"/>
    <xf numFmtId="168" fontId="0" fillId="11" borderId="18" xfId="0" applyNumberFormat="1" applyFill="1" applyBorder="1"/>
    <xf numFmtId="168" fontId="0" fillId="12" borderId="18" xfId="0" applyNumberFormat="1" applyFill="1" applyBorder="1"/>
    <xf numFmtId="169" fontId="0" fillId="12" borderId="18" xfId="0" applyNumberFormat="1" applyFill="1" applyBorder="1"/>
    <xf numFmtId="0" fontId="0" fillId="12" borderId="18" xfId="0" applyFill="1" applyBorder="1"/>
    <xf numFmtId="0" fontId="0" fillId="11" borderId="19" xfId="0" applyFill="1" applyBorder="1"/>
    <xf numFmtId="1" fontId="2" fillId="2" borderId="1" xfId="0" applyNumberFormat="1" applyFont="1" applyFill="1" applyBorder="1"/>
    <xf numFmtId="14" fontId="4" fillId="11" borderId="12" xfId="0" applyNumberFormat="1" applyFont="1" applyFill="1" applyBorder="1"/>
    <xf numFmtId="0" fontId="4" fillId="11" borderId="14" xfId="0" applyFont="1" applyFill="1" applyBorder="1"/>
    <xf numFmtId="14" fontId="4" fillId="11" borderId="15" xfId="0" applyNumberFormat="1" applyFont="1" applyFill="1" applyBorder="1"/>
    <xf numFmtId="0" fontId="4" fillId="11" borderId="16" xfId="0" applyFont="1" applyFill="1" applyBorder="1"/>
    <xf numFmtId="14" fontId="0" fillId="11" borderId="15" xfId="0" applyNumberFormat="1" applyFill="1" applyBorder="1"/>
    <xf numFmtId="14" fontId="0" fillId="11" borderId="17" xfId="0" applyNumberFormat="1" applyFill="1" applyBorder="1"/>
    <xf numFmtId="166" fontId="4" fillId="11" borderId="13" xfId="0" applyNumberFormat="1" applyFont="1" applyFill="1" applyBorder="1"/>
    <xf numFmtId="166" fontId="4" fillId="11" borderId="0" xfId="0" applyNumberFormat="1" applyFont="1" applyFill="1"/>
    <xf numFmtId="166" fontId="0" fillId="11" borderId="0" xfId="0" applyNumberFormat="1" applyFill="1"/>
    <xf numFmtId="166" fontId="0" fillId="11" borderId="18" xfId="0" applyNumberFormat="1" applyFill="1" applyBorder="1"/>
    <xf numFmtId="164" fontId="17" fillId="13" borderId="0" xfId="0" applyNumberFormat="1" applyFont="1" applyFill="1"/>
    <xf numFmtId="0" fontId="18" fillId="13" borderId="0" xfId="0" applyFont="1" applyFill="1"/>
    <xf numFmtId="164" fontId="12" fillId="0" borderId="0" xfId="0" applyNumberFormat="1" applyFont="1"/>
    <xf numFmtId="164" fontId="12" fillId="0" borderId="7" xfId="0" applyNumberFormat="1" applyFont="1" applyBorder="1"/>
    <xf numFmtId="1" fontId="19" fillId="0" borderId="0" xfId="0" applyNumberFormat="1" applyFont="1"/>
    <xf numFmtId="1" fontId="19" fillId="0" borderId="7" xfId="0" applyNumberFormat="1" applyFont="1" applyBorder="1"/>
    <xf numFmtId="164" fontId="20" fillId="6" borderId="2" xfId="0" applyNumberFormat="1" applyFont="1" applyFill="1" applyBorder="1"/>
    <xf numFmtId="0" fontId="10" fillId="0" borderId="0" xfId="0" applyFont="1" applyAlignment="1">
      <alignment vertical="center" wrapText="1"/>
    </xf>
    <xf numFmtId="0" fontId="2" fillId="14" borderId="20" xfId="0" applyFont="1" applyFill="1" applyBorder="1" applyAlignment="1">
      <alignment horizontal="center" vertical="center" wrapText="1"/>
    </xf>
    <xf numFmtId="49" fontId="4" fillId="15" borderId="21" xfId="0" applyNumberFormat="1" applyFont="1" applyFill="1" applyBorder="1" applyAlignment="1">
      <alignment vertical="center"/>
    </xf>
    <xf numFmtId="0" fontId="0" fillId="0" borderId="21" xfId="0" applyBorder="1"/>
    <xf numFmtId="0" fontId="2" fillId="14" borderId="0" xfId="0" applyFont="1" applyFill="1" applyAlignment="1">
      <alignment horizontal="center" vertical="center" wrapText="1"/>
    </xf>
    <xf numFmtId="0" fontId="21" fillId="0" borderId="0" xfId="0" applyFont="1"/>
    <xf numFmtId="0" fontId="22" fillId="14" borderId="0" xfId="0" applyFont="1" applyFill="1" applyAlignment="1">
      <alignment horizontal="center" vertical="center" wrapText="1"/>
    </xf>
    <xf numFmtId="1" fontId="19" fillId="16" borderId="0" xfId="0" applyNumberFormat="1" applyFont="1" applyFill="1"/>
    <xf numFmtId="0" fontId="2" fillId="17" borderId="22" xfId="0" applyFont="1" applyFill="1" applyBorder="1" applyAlignment="1">
      <alignment horizontal="center"/>
    </xf>
    <xf numFmtId="0" fontId="23" fillId="0" borderId="0" xfId="0" applyFont="1"/>
    <xf numFmtId="170" fontId="23" fillId="18" borderId="0" xfId="0" applyNumberFormat="1" applyFont="1" applyFill="1" applyAlignment="1">
      <alignment horizontal="right"/>
    </xf>
    <xf numFmtId="0" fontId="23" fillId="18" borderId="0" xfId="0" applyFont="1" applyFill="1" applyAlignment="1">
      <alignment horizontal="left"/>
    </xf>
    <xf numFmtId="0" fontId="24" fillId="17" borderId="0" xfId="0" applyFont="1" applyFill="1"/>
    <xf numFmtId="0" fontId="12" fillId="19" borderId="0" xfId="0" applyFont="1" applyFill="1"/>
    <xf numFmtId="0" fontId="25" fillId="19" borderId="23" xfId="0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170" fontId="26" fillId="0" borderId="0" xfId="0" applyNumberFormat="1" applyFont="1"/>
    <xf numFmtId="170" fontId="27" fillId="0" borderId="0" xfId="0" applyNumberFormat="1" applyFont="1"/>
    <xf numFmtId="14" fontId="27" fillId="0" borderId="0" xfId="0" applyNumberFormat="1" applyFont="1"/>
    <xf numFmtId="0" fontId="23" fillId="0" borderId="0" xfId="0" applyFont="1" applyAlignment="1">
      <alignment horizontal="left"/>
    </xf>
    <xf numFmtId="170" fontId="23" fillId="0" borderId="0" xfId="0" applyNumberFormat="1" applyFont="1" applyAlignment="1">
      <alignment horizontal="right"/>
    </xf>
    <xf numFmtId="16" fontId="23" fillId="0" borderId="0" xfId="0" applyNumberFormat="1" applyFont="1" applyAlignment="1">
      <alignment horizontal="center"/>
    </xf>
    <xf numFmtId="1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14" fontId="23" fillId="0" borderId="0" xfId="0" applyNumberFormat="1" applyFont="1"/>
    <xf numFmtId="170" fontId="23" fillId="0" borderId="0" xfId="0" applyNumberFormat="1" applyFont="1"/>
    <xf numFmtId="0" fontId="12" fillId="0" borderId="0" xfId="0" applyFon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12" fillId="16" borderId="0" xfId="0" applyFont="1" applyFill="1" applyAlignment="1">
      <alignment horizontal="center"/>
    </xf>
  </cellXfs>
  <cellStyles count="1">
    <cellStyle name="Normal" xfId="0" builtinId="0"/>
  </cellStyles>
  <dxfs count="3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indexed="64"/>
          <bgColor rgb="FFFF0000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0BFDA1"/>
        </patternFill>
      </fill>
    </dxf>
    <dxf>
      <font>
        <color rgb="FF000000"/>
      </font>
      <fill>
        <patternFill patternType="solid">
          <fgColor indexed="64"/>
          <bgColor theme="8" tint="0.39994506668294322"/>
        </patternFill>
      </fill>
    </dxf>
    <dxf>
      <font>
        <color rgb="FF000000"/>
      </font>
      <fill>
        <patternFill patternType="solid">
          <fgColor indexed="64"/>
          <bgColor rgb="FFFF85D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indexed="64"/>
          <bgColor rgb="FFFF0000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0BFDA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indexed="64"/>
          <bgColor rgb="FFFF0000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0BFDA1"/>
        </patternFill>
      </fill>
    </dxf>
    <dxf>
      <font>
        <color rgb="FF000000"/>
      </font>
      <fill>
        <patternFill patternType="solid">
          <fgColor indexed="64"/>
          <bgColor theme="8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 patternType="solid">
          <fgColor indexed="64"/>
          <bgColor rgb="FFFF0000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mruColors>
      <color rgb="FFFF85D3"/>
      <color rgb="FF0BFD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1676400</xdr:colOff>
      <xdr:row>50</xdr:row>
      <xdr:rowOff>47625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0B29B2F-E337-70A6-920F-E7F94C84531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50</xdr:row>
      <xdr:rowOff>47625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4528648-935B-33C3-FAD1-BB3E49C9A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50</xdr:row>
      <xdr:rowOff>47625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BB5BD9A-1AF1-D6AD-C283-F10B0EA315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51</xdr:row>
      <xdr:rowOff>144780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208B951-C458-B4D4-08A2-91F81056C0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51</xdr:row>
      <xdr:rowOff>47625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611162F-0121-6A1A-833C-07E1D2F78A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51</xdr:row>
      <xdr:rowOff>47625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E6967FB-5C55-2D6B-DA65-B62DB5F27E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51</xdr:row>
      <xdr:rowOff>47625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232ABAB-947D-EC12-B6CE-E295495408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439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51</xdr:row>
      <xdr:rowOff>47625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F4D54CCB-B758-D879-3A00-9D4BAAD367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439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1676400</xdr:colOff>
      <xdr:row>51</xdr:row>
      <xdr:rowOff>47625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1B6A02C-DCC1-B931-A043-3B5140B727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439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50A861-FA72-4064-8EEF-5CEC8BDCA670}">
  <we:reference id="wa200010215" version="2.0.0.1" store="pt-BR" storeType="OMEX"/>
  <we:alternateReferences>
    <we:reference id="wa200010215" version="2.0.0.1" store="" storeType="OMEX"/>
  </we:alternateReferences>
  <we:properties>
    <we:property name="bps.codex_control.document_id" value="&quot;8401cfb1-6d6c-45cb-8519-65ab4be3144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opLeftCell="D1" workbookViewId="0">
      <selection activeCell="L23" sqref="L23"/>
    </sheetView>
  </sheetViews>
  <sheetFormatPr defaultRowHeight="14.25"/>
  <cols>
    <col min="1" max="1" width="17" customWidth="1"/>
    <col min="2" max="2" width="14" customWidth="1"/>
    <col min="3" max="3" width="13" customWidth="1"/>
    <col min="4" max="4" width="19.625" customWidth="1"/>
    <col min="5" max="5" width="14" customWidth="1"/>
    <col min="6" max="6" width="16" customWidth="1"/>
    <col min="7" max="9" width="17" customWidth="1"/>
    <col min="10" max="10" width="14" customWidth="1"/>
    <col min="11" max="11" width="21.125" customWidth="1"/>
    <col min="12" max="12" width="17" customWidth="1"/>
    <col min="13" max="13" width="30" customWidth="1"/>
    <col min="14" max="14" width="21.125" customWidth="1"/>
  </cols>
  <sheetData>
    <row r="1" spans="1:14" ht="24" customHeight="1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3" spans="1:14" ht="23.25">
      <c r="A3" s="1" t="s">
        <v>1</v>
      </c>
      <c r="B3" s="7">
        <v>2026</v>
      </c>
      <c r="M3" s="86" t="s">
        <v>2</v>
      </c>
      <c r="N3" s="85">
        <f>SUMIFS(RESERVAS!$U$6:$U$203,RESERVAS!$I$6:$I$203,"&lt;&gt;Cancelada",RESERVAS!$I$6:$I$203,"&lt;&gt;Consulta")</f>
        <v>48093.619999999995</v>
      </c>
    </row>
    <row r="5" spans="1:14" ht="20.25">
      <c r="A5" s="8" t="s">
        <v>3</v>
      </c>
      <c r="B5" s="9">
        <f>SUM(F13:F24)</f>
        <v>28541.67</v>
      </c>
      <c r="D5" s="8" t="s">
        <v>4</v>
      </c>
      <c r="E5" s="10">
        <f>SUM(G13:G24)</f>
        <v>32.050000000000182</v>
      </c>
      <c r="G5" s="8" t="s">
        <v>5</v>
      </c>
      <c r="H5" s="11">
        <f>SUM(H13:H24)</f>
        <v>0</v>
      </c>
      <c r="J5" s="8" t="s">
        <v>6</v>
      </c>
      <c r="K5" s="91">
        <f>SUM(I13:I24)</f>
        <v>28509.62</v>
      </c>
    </row>
    <row r="8" spans="1:14" ht="15.75">
      <c r="A8" s="8" t="s">
        <v>7</v>
      </c>
      <c r="B8" s="12">
        <f>SUM(C13:C24)</f>
        <v>53</v>
      </c>
      <c r="C8" s="14"/>
      <c r="D8" s="74" t="s">
        <v>8</v>
      </c>
      <c r="E8" s="12">
        <f>SUM(D13:D24)</f>
        <v>677</v>
      </c>
      <c r="G8" s="8" t="s">
        <v>9</v>
      </c>
      <c r="H8" s="13">
        <f>IF(SUM(B13:B24)=0,0,SUM(C13:C24)/SUM(B13:B24))</f>
        <v>7.260273972602739E-2</v>
      </c>
      <c r="J8" s="8" t="s">
        <v>10</v>
      </c>
      <c r="K8" s="10">
        <f>IF(B8=0,0,B5/B8)</f>
        <v>538.52207547169803</v>
      </c>
    </row>
    <row r="12" spans="1:14" ht="24" customHeight="1">
      <c r="A12" s="2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4</v>
      </c>
      <c r="H12" s="4" t="s">
        <v>5</v>
      </c>
      <c r="I12" s="4" t="s">
        <v>6</v>
      </c>
      <c r="J12" s="3" t="s">
        <v>17</v>
      </c>
      <c r="L12" s="121" t="s">
        <v>18</v>
      </c>
      <c r="M12" s="121"/>
      <c r="N12" s="121"/>
    </row>
    <row r="13" spans="1:14" ht="18">
      <c r="A13" s="15" t="s">
        <v>19</v>
      </c>
      <c r="B13" s="14">
        <f>DAY(EOMONTH(DATE($B$3,1,1),0))*2</f>
        <v>62</v>
      </c>
      <c r="C13" s="89">
        <f>SUMPRODUCT((RESERVAS!$C$6:$C$203&lt;DATE($B$3,2,1))*(RESERVAS!$D$6:$D$203&gt;DATE($B$3,1,1))*(RESERVAS!$I$6:$I$203&lt;&gt;"Cancelada")*(RESERVAS!$I$6:$I$203&lt;&gt;"Consulta")*(((RESERVAS!$D$6:$D$203&lt;DATE($B$3,2,1))*RESERVAS!$D$6:$D$203+(RESERVAS!$D$6:$D$203&gt;=DATE($B$3,2,1))*DATE($B$3,2,1))-((RESERVAS!$C$6:$C$203&gt;DATE($B$3,1,1))*RESERVAS!$C$6:$C$203+(RESERVAS!$C$6:$C$203&lt;=DATE($B$3,1,1))*DATE($B$3,1,1))))</f>
        <v>0</v>
      </c>
      <c r="D13" s="89">
        <f t="shared" ref="D13:D24" si="0">MAX(0,B13-C13)</f>
        <v>62</v>
      </c>
      <c r="E13" s="6">
        <f t="shared" ref="E13:E24" si="1">IF(B13=0,0,C13/B13)</f>
        <v>0</v>
      </c>
      <c r="F13" s="5">
        <f>SUMPRODUCT((RESERVAS!$C$6:$C$203&lt;DATE($B$3,2,1))*(RESERVAS!$D$6:$D$203&gt;DATE($B$3,1,1))*(RESERVAS!$I$6:$I$203&lt;&gt;"Cancelada")*(RESERVAS!$I$6:$I$203&lt;&gt;"Consulta")*RESERVAS!$F$6:$F$203*(((RESERVAS!$D$6:$D$203&lt;DATE($B$3,2,1))*RESERVAS!$D$6:$D$203+(RESERVAS!$D$6:$D$203&gt;=DATE($B$3,2,1))*DATE($B$3,2,1))-((RESERVAS!$C$6:$C$203&gt;DATE($B$3,1,1))*RESERVAS!$C$6:$C$203+(RESERVAS!$C$6:$C$203&lt;=DATE($B$3,1,1))*DATE($B$3,1,1))))</f>
        <v>0</v>
      </c>
      <c r="G13" s="5">
        <f>SUMPRODUCT((RESERVAS!$C$6:$C$203&lt;DATE($B$3,2,1))*(RESERVAS!$D$6:$D$203&gt;DATE($B$3,1,1))*(RESERVAS!$I$6:$I$203&lt;&gt;"Cancelada")*(RESERVAS!$I$6:$I$203&lt;&gt;"Consulta")*RESERVAS!$T$6:$T$203*(((RESERVAS!$D$6:$D$203&lt;DATE($B$3,2,1))*RESERVAS!$D$6:$D$203+(RESERVAS!$D$6:$D$203&gt;=DATE($B$3,2,1))*DATE($B$3,2,1))-((RESERVAS!$C$6:$C$203&gt;DATE($B$3,1,1))*RESERVAS!$C$6:$C$203+(RESERVAS!$C$6:$C$203&lt;=DATE($B$3,1,1))*DATE($B$3,1,1))))</f>
        <v>0</v>
      </c>
      <c r="H13" s="5">
        <f>SUMIFS('DESPESAS CASA'!$D$6:$D$305,'DESPESAS CASA'!$A$6:$A$305,"&gt;="&amp;DATE($B$3,1,1),'DESPESAS CASA'!$A$6:$A$305,"&lt;"&amp;DATE($B$3,2,1),'DESPESAS CASA'!$E$6:$E$305,"")</f>
        <v>0</v>
      </c>
      <c r="I13" s="87">
        <f t="shared" ref="I13:I24" si="2">F13-G13-H13</f>
        <v>0</v>
      </c>
      <c r="J13" s="16">
        <f t="shared" ref="J13:J24" si="3">IF(F13=0,0,I13/F13)</f>
        <v>0</v>
      </c>
      <c r="L13" s="22" t="s">
        <v>20</v>
      </c>
      <c r="M13" s="23" t="s">
        <v>21</v>
      </c>
      <c r="N13" s="24"/>
    </row>
    <row r="14" spans="1:14" ht="18">
      <c r="A14" s="15" t="s">
        <v>22</v>
      </c>
      <c r="B14" s="14">
        <f>DAY(EOMONTH(DATE($B$3,2,1),0))*2</f>
        <v>56</v>
      </c>
      <c r="C14" s="89">
        <f>SUMPRODUCT((RESERVAS!$C$6:$C$203&lt;DATE($B$3,3,1))*(RESERVAS!$D$6:$D$203&gt;DATE($B$3,2,1))*(RESERVAS!$I$6:$I$203&lt;&gt;"Cancelada")*(RESERVAS!$I$6:$I$203&lt;&gt;"Consulta")*(((RESERVAS!$D$6:$D$203&lt;DATE($B$3,3,1))*RESERVAS!$D$6:$D$203+(RESERVAS!$D$6:$D$203&gt;=DATE($B$3,3,1))*DATE($B$3,3,1))-((RESERVAS!$C$6:$C$203&gt;DATE($B$3,2,1))*RESERVAS!$C$6:$C$203+(RESERVAS!$C$6:$C$203&lt;=DATE($B$3,2,1))*DATE($B$3,2,1))))</f>
        <v>0</v>
      </c>
      <c r="D14" s="89">
        <f t="shared" si="0"/>
        <v>56</v>
      </c>
      <c r="E14" s="6">
        <f t="shared" si="1"/>
        <v>0</v>
      </c>
      <c r="F14" s="5">
        <f>SUMPRODUCT((RESERVAS!$C$6:$C$203&lt;DATE($B$3,3,1))*(RESERVAS!$D$6:$D$203&gt;DATE($B$3,2,1))*(RESERVAS!$I$6:$I$203&lt;&gt;"Cancelada")*(RESERVAS!$I$6:$I$203&lt;&gt;"Consulta")*RESERVAS!$F$6:$F$203*(((RESERVAS!$D$6:$D$203&lt;DATE($B$3,3,1))*RESERVAS!$D$6:$D$203+(RESERVAS!$D$6:$D$203&gt;=DATE($B$3,3,1))*DATE($B$3,3,1))-((RESERVAS!$C$6:$C$203&gt;DATE($B$3,2,1))*RESERVAS!$C$6:$C$203+(RESERVAS!$C$6:$C$203&lt;=DATE($B$3,2,1))*DATE($B$3,2,1))))</f>
        <v>0</v>
      </c>
      <c r="G14" s="5">
        <f>SUMPRODUCT((RESERVAS!$C$6:$C$203&lt;DATE($B$3,3,1))*(RESERVAS!$D$6:$D$203&gt;DATE($B$3,2,1))*(RESERVAS!$I$6:$I$203&lt;&gt;"Cancelada")*(RESERVAS!$I$6:$I$203&lt;&gt;"Consulta")*RESERVAS!$T$6:$T$203*(((RESERVAS!$D$6:$D$203&lt;DATE($B$3,3,1))*RESERVAS!$D$6:$D$203+(RESERVAS!$D$6:$D$203&gt;=DATE($B$3,3,1))*DATE($B$3,3,1))-((RESERVAS!$C$6:$C$203&gt;DATE($B$3,2,1))*RESERVAS!$C$6:$C$203+(RESERVAS!$C$6:$C$203&lt;=DATE($B$3,2,1))*DATE($B$3,2,1))))</f>
        <v>0</v>
      </c>
      <c r="H14" s="5">
        <f>SUMIFS('DESPESAS CASA'!$D$6:$D$305,'DESPESAS CASA'!$A$6:$A$305,"&gt;="&amp;DATE($B$3,2,1),'DESPESAS CASA'!$A$6:$A$305,"&lt;"&amp;DATE($B$3,3,1),'DESPESAS CASA'!$E$6:$E$305,"")</f>
        <v>0</v>
      </c>
      <c r="I14" s="87">
        <f t="shared" si="2"/>
        <v>0</v>
      </c>
      <c r="J14" s="16">
        <f t="shared" si="3"/>
        <v>0</v>
      </c>
      <c r="L14" s="15" t="s">
        <v>23</v>
      </c>
      <c r="M14">
        <v>10</v>
      </c>
      <c r="N14" s="25"/>
    </row>
    <row r="15" spans="1:14" ht="18">
      <c r="A15" s="15" t="s">
        <v>24</v>
      </c>
      <c r="B15" s="14">
        <f>DAY(EOMONTH(DATE($B$3,3,1),0))*2</f>
        <v>62</v>
      </c>
      <c r="C15" s="89">
        <f>SUMPRODUCT((RESERVAS!$C$6:$C$203&lt;DATE($B$3,4,1))*(RESERVAS!$D$6:$D$203&gt;DATE($B$3,3,1))*(RESERVAS!$I$6:$I$203&lt;&gt;"Cancelada")*(RESERVAS!$I$6:$I$203&lt;&gt;"Consulta")*(((RESERVAS!$D$6:$D$203&lt;DATE($B$3,4,1))*RESERVAS!$D$6:$D$203+(RESERVAS!$D$6:$D$203&gt;=DATE($B$3,4,1))*DATE($B$3,4,1))-((RESERVAS!$C$6:$C$203&gt;DATE($B$3,3,1))*RESERVAS!$C$6:$C$203+(RESERVAS!$C$6:$C$203&lt;=DATE($B$3,3,1))*DATE($B$3,3,1))))</f>
        <v>0</v>
      </c>
      <c r="D15" s="89">
        <f t="shared" si="0"/>
        <v>62</v>
      </c>
      <c r="E15" s="6">
        <f t="shared" si="1"/>
        <v>0</v>
      </c>
      <c r="F15" s="5">
        <f>SUMPRODUCT((RESERVAS!$C$6:$C$203&lt;DATE($B$3,4,1))*(RESERVAS!$D$6:$D$203&gt;DATE($B$3,3,1))*(RESERVAS!$I$6:$I$203&lt;&gt;"Cancelada")*(RESERVAS!$I$6:$I$203&lt;&gt;"Consulta")*RESERVAS!$F$6:$F$203*(((RESERVAS!$D$6:$D$203&lt;DATE($B$3,4,1))*RESERVAS!$D$6:$D$203+(RESERVAS!$D$6:$D$203&gt;=DATE($B$3,4,1))*DATE($B$3,4,1))-((RESERVAS!$C$6:$C$203&gt;DATE($B$3,3,1))*RESERVAS!$C$6:$C$203+(RESERVAS!$C$6:$C$203&lt;=DATE($B$3,3,1))*DATE($B$3,3,1))))</f>
        <v>0</v>
      </c>
      <c r="G15" s="5">
        <f>SUMPRODUCT((RESERVAS!$C$6:$C$203&lt;DATE($B$3,4,1))*(RESERVAS!$D$6:$D$203&gt;DATE($B$3,3,1))*(RESERVAS!$I$6:$I$203&lt;&gt;"Cancelada")*(RESERVAS!$I$6:$I$203&lt;&gt;"Consulta")*RESERVAS!$T$6:$T$203*(((RESERVAS!$D$6:$D$203&lt;DATE($B$3,4,1))*RESERVAS!$D$6:$D$203+(RESERVAS!$D$6:$D$203&gt;=DATE($B$3,4,1))*DATE($B$3,4,1))-((RESERVAS!$C$6:$C$203&gt;DATE($B$3,3,1))*RESERVAS!$C$6:$C$203+(RESERVAS!$C$6:$C$203&lt;=DATE($B$3,3,1))*DATE($B$3,3,1))))</f>
        <v>0</v>
      </c>
      <c r="H15" s="5">
        <f>SUMIFS('DESPESAS CASA'!$D$6:$D$305,'DESPESAS CASA'!$A$6:$A$305,"&gt;="&amp;DATE($B$3,3,1),'DESPESAS CASA'!$A$6:$A$305,"&lt;"&amp;DATE($B$3,4,1),'DESPESAS CASA'!$E$6:$E$305,"")</f>
        <v>0</v>
      </c>
      <c r="I15" s="87">
        <f t="shared" si="2"/>
        <v>0</v>
      </c>
      <c r="J15" s="16">
        <f t="shared" si="3"/>
        <v>0</v>
      </c>
      <c r="L15" s="15" t="s">
        <v>25</v>
      </c>
      <c r="M15" s="42">
        <v>1100</v>
      </c>
      <c r="N15" s="25"/>
    </row>
    <row r="16" spans="1:14" ht="18">
      <c r="A16" s="15" t="s">
        <v>26</v>
      </c>
      <c r="B16" s="14">
        <f>DAY(EOMONTH(DATE($B$3,4,1),0))*2</f>
        <v>60</v>
      </c>
      <c r="C16" s="89">
        <f>SUMPRODUCT((RESERVAS!$C$6:$C$203&lt;DATE($B$3,5,1))*(RESERVAS!$D$6:$D$203&gt;DATE($B$3,4,1))*(RESERVAS!$I$6:$I$203&lt;&gt;"Cancelada")*(RESERVAS!$I$6:$I$203&lt;&gt;"Consulta")*(((RESERVAS!$D$6:$D$203&lt;DATE($B$3,5,1))*RESERVAS!$D$6:$D$203+(RESERVAS!$D$6:$D$203&gt;=DATE($B$3,5,1))*DATE($B$3,5,1))-((RESERVAS!$C$6:$C$203&gt;DATE($B$3,4,1))*RESERVAS!$C$6:$C$203+(RESERVAS!$C$6:$C$203&lt;=DATE($B$3,4,1))*DATE($B$3,4,1))))</f>
        <v>0</v>
      </c>
      <c r="D16" s="89">
        <f t="shared" si="0"/>
        <v>60</v>
      </c>
      <c r="E16" s="6">
        <f t="shared" si="1"/>
        <v>0</v>
      </c>
      <c r="F16" s="5">
        <f>SUMPRODUCT((RESERVAS!$C$6:$C$203&lt;DATE($B$3,5,1))*(RESERVAS!$D$6:$D$203&gt;DATE($B$3,4,1))*(RESERVAS!$I$6:$I$203&lt;&gt;"Cancelada")*(RESERVAS!$I$6:$I$203&lt;&gt;"Consulta")*RESERVAS!$F$6:$F$203*(((RESERVAS!$D$6:$D$203&lt;DATE($B$3,5,1))*RESERVAS!$D$6:$D$203+(RESERVAS!$D$6:$D$203&gt;=DATE($B$3,5,1))*DATE($B$3,5,1))-((RESERVAS!$C$6:$C$203&gt;DATE($B$3,4,1))*RESERVAS!$C$6:$C$203+(RESERVAS!$C$6:$C$203&lt;=DATE($B$3,4,1))*DATE($B$3,4,1))))</f>
        <v>0</v>
      </c>
      <c r="G16" s="5">
        <f>SUMPRODUCT((RESERVAS!$C$6:$C$203&lt;DATE($B$3,5,1))*(RESERVAS!$D$6:$D$203&gt;DATE($B$3,4,1))*(RESERVAS!$I$6:$I$203&lt;&gt;"Cancelada")*(RESERVAS!$I$6:$I$203&lt;&gt;"Consulta")*RESERVAS!$T$6:$T$203*(((RESERVAS!$D$6:$D$203&lt;DATE($B$3,5,1))*RESERVAS!$D$6:$D$203+(RESERVAS!$D$6:$D$203&gt;=DATE($B$3,5,1))*DATE($B$3,5,1))-((RESERVAS!$C$6:$C$203&gt;DATE($B$3,4,1))*RESERVAS!$C$6:$C$203+(RESERVAS!$C$6:$C$203&lt;=DATE($B$3,4,1))*DATE($B$3,4,1))))</f>
        <v>0</v>
      </c>
      <c r="H16" s="5">
        <f>SUMIFS('DESPESAS CASA'!$D$6:$D$305,'DESPESAS CASA'!$A$6:$A$305,"&gt;="&amp;DATE($B$3,4,1),'DESPESAS CASA'!$A$6:$A$305,"&lt;"&amp;DATE($B$3,5,1),'DESPESAS CASA'!$E$6:$E$305,"")</f>
        <v>0</v>
      </c>
      <c r="I16" s="87">
        <f t="shared" si="2"/>
        <v>0</v>
      </c>
      <c r="J16" s="16">
        <f t="shared" si="3"/>
        <v>0</v>
      </c>
      <c r="L16" s="15" t="s">
        <v>27</v>
      </c>
      <c r="M16" s="42">
        <v>11000</v>
      </c>
      <c r="N16" s="25"/>
    </row>
    <row r="17" spans="1:14" ht="18">
      <c r="A17" s="15" t="s">
        <v>28</v>
      </c>
      <c r="B17" s="14">
        <f>DAY(EOMONTH(DATE($B$3,5,1),0))*2</f>
        <v>62</v>
      </c>
      <c r="C17" s="89">
        <f>SUMPRODUCT((RESERVAS!$C$6:$C$203&lt;DATE($B$3,6,1))*(RESERVAS!$D$6:$D$203&gt;DATE($B$3,5,1))*(RESERVAS!$I$6:$I$203&lt;&gt;"Cancelada")*(RESERVAS!$I$6:$I$203&lt;&gt;"Consulta")*(((RESERVAS!$D$6:$D$203&lt;DATE($B$3,6,1))*RESERVAS!$D$6:$D$203+(RESERVAS!$D$6:$D$203&gt;=DATE($B$3,6,1))*DATE($B$3,6,1))-((RESERVAS!$C$6:$C$203&gt;DATE($B$3,5,1))*RESERVAS!$C$6:$C$203+(RESERVAS!$C$6:$C$203&lt;=DATE($B$3,5,1))*DATE($B$3,5,1))))</f>
        <v>0</v>
      </c>
      <c r="D17" s="89">
        <f t="shared" si="0"/>
        <v>62</v>
      </c>
      <c r="E17" s="6">
        <f t="shared" si="1"/>
        <v>0</v>
      </c>
      <c r="F17" s="5">
        <f>SUMPRODUCT((RESERVAS!$C$6:$C$203&lt;DATE($B$3,6,1))*(RESERVAS!$D$6:$D$203&gt;DATE($B$3,5,1))*(RESERVAS!$I$6:$I$203&lt;&gt;"Cancelada")*(RESERVAS!$I$6:$I$203&lt;&gt;"Consulta")*RESERVAS!$F$6:$F$203*(((RESERVAS!$D$6:$D$203&lt;DATE($B$3,6,1))*RESERVAS!$D$6:$D$203+(RESERVAS!$D$6:$D$203&gt;=DATE($B$3,6,1))*DATE($B$3,6,1))-((RESERVAS!$C$6:$C$203&gt;DATE($B$3,5,1))*RESERVAS!$C$6:$C$203+(RESERVAS!$C$6:$C$203&lt;=DATE($B$3,5,1))*DATE($B$3,5,1))))</f>
        <v>0</v>
      </c>
      <c r="G17" s="5">
        <f>SUMPRODUCT((RESERVAS!$C$6:$C$203&lt;DATE($B$3,6,1))*(RESERVAS!$D$6:$D$203&gt;DATE($B$3,5,1))*(RESERVAS!$I$6:$I$203&lt;&gt;"Cancelada")*(RESERVAS!$I$6:$I$203&lt;&gt;"Consulta")*RESERVAS!$T$6:$T$203*(((RESERVAS!$D$6:$D$203&lt;DATE($B$3,6,1))*RESERVAS!$D$6:$D$203+(RESERVAS!$D$6:$D$203&gt;=DATE($B$3,6,1))*DATE($B$3,6,1))-((RESERVAS!$C$6:$C$203&gt;DATE($B$3,5,1))*RESERVAS!$C$6:$C$203+(RESERVAS!$C$6:$C$203&lt;=DATE($B$3,5,1))*DATE($B$3,5,1))))</f>
        <v>0</v>
      </c>
      <c r="H17" s="5">
        <f>SUMIFS('DESPESAS CASA'!$D$6:$D$305,'DESPESAS CASA'!$A$6:$A$305,"&gt;="&amp;DATE($B$3,5,1),'DESPESAS CASA'!$A$6:$A$305,"&lt;"&amp;DATE($B$3,6,1),'DESPESAS CASA'!$E$6:$E$305,"")</f>
        <v>0</v>
      </c>
      <c r="I17" s="87">
        <f t="shared" si="2"/>
        <v>0</v>
      </c>
      <c r="J17" s="16">
        <f t="shared" si="3"/>
        <v>0</v>
      </c>
      <c r="L17" s="17" t="s">
        <v>29</v>
      </c>
      <c r="M17" s="26" t="s">
        <v>30</v>
      </c>
      <c r="N17" s="27"/>
    </row>
    <row r="18" spans="1:14" ht="18">
      <c r="A18" s="15" t="s">
        <v>31</v>
      </c>
      <c r="B18" s="14">
        <f>DAY(EOMONTH(DATE($B$3,6,1),0))*2</f>
        <v>60</v>
      </c>
      <c r="C18" s="89">
        <f>SUMPRODUCT((RESERVAS!$C$6:$C$203&lt;DATE($B$3,7,1))*(RESERVAS!$D$6:$D$203&gt;DATE($B$3,6,1))*(RESERVAS!$I$6:$I$203&lt;&gt;"Cancelada")*(RESERVAS!$I$6:$I$203&lt;&gt;"Consulta")*(((RESERVAS!$D$6:$D$203&lt;DATE($B$3,7,1))*RESERVAS!$D$6:$D$203+(RESERVAS!$D$6:$D$203&gt;=DATE($B$3,7,1))*DATE($B$3,7,1))-((RESERVAS!$C$6:$C$203&gt;DATE($B$3,6,1))*RESERVAS!$C$6:$C$203+(RESERVAS!$C$6:$C$203&lt;=DATE($B$3,6,1))*DATE($B$3,6,1))))</f>
        <v>0</v>
      </c>
      <c r="D18" s="89">
        <f t="shared" si="0"/>
        <v>60</v>
      </c>
      <c r="E18" s="6">
        <f t="shared" si="1"/>
        <v>0</v>
      </c>
      <c r="F18" s="5">
        <f>SUMPRODUCT((RESERVAS!$C$6:$C$203&lt;DATE($B$3,7,1))*(RESERVAS!$D$6:$D$203&gt;DATE($B$3,6,1))*(RESERVAS!$I$6:$I$203&lt;&gt;"Cancelada")*(RESERVAS!$I$6:$I$203&lt;&gt;"Consulta")*RESERVAS!$F$6:$F$203*(((RESERVAS!$D$6:$D$203&lt;DATE($B$3,7,1))*RESERVAS!$D$6:$D$203+(RESERVAS!$D$6:$D$203&gt;=DATE($B$3,7,1))*DATE($B$3,7,1))-((RESERVAS!$C$6:$C$203&gt;DATE($B$3,6,1))*RESERVAS!$C$6:$C$203+(RESERVAS!$C$6:$C$203&lt;=DATE($B$3,6,1))*DATE($B$3,6,1))))</f>
        <v>0</v>
      </c>
      <c r="G18" s="5">
        <f>SUMPRODUCT((RESERVAS!$C$6:$C$203&lt;DATE($B$3,7,1))*(RESERVAS!$D$6:$D$203&gt;DATE($B$3,6,1))*(RESERVAS!$I$6:$I$203&lt;&gt;"Cancelada")*(RESERVAS!$I$6:$I$203&lt;&gt;"Consulta")*RESERVAS!$T$6:$T$203*(((RESERVAS!$D$6:$D$203&lt;DATE($B$3,7,1))*RESERVAS!$D$6:$D$203+(RESERVAS!$D$6:$D$203&gt;=DATE($B$3,7,1))*DATE($B$3,7,1))-((RESERVAS!$C$6:$C$203&gt;DATE($B$3,6,1))*RESERVAS!$C$6:$C$203+(RESERVAS!$C$6:$C$203&lt;=DATE($B$3,6,1))*DATE($B$3,6,1))))</f>
        <v>0</v>
      </c>
      <c r="H18" s="5">
        <f>SUMIFS('DESPESAS CASA'!$D$6:$D$305,'DESPESAS CASA'!$A$6:$A$305,"&gt;="&amp;DATE($B$3,6,1),'DESPESAS CASA'!$A$6:$A$305,"&lt;"&amp;DATE($B$3,7,1),'DESPESAS CASA'!$E$6:$E$305,"")</f>
        <v>0</v>
      </c>
      <c r="I18" s="87">
        <f t="shared" si="2"/>
        <v>0</v>
      </c>
      <c r="J18" s="16">
        <f t="shared" si="3"/>
        <v>0</v>
      </c>
    </row>
    <row r="19" spans="1:14" ht="18">
      <c r="A19" s="15" t="s">
        <v>32</v>
      </c>
      <c r="B19" s="14">
        <f>DAY(EOMONTH(DATE($B$3,7,1),0))*2</f>
        <v>62</v>
      </c>
      <c r="C19" s="89">
        <f>SUMPRODUCT((RESERVAS!$C$6:$C$203&lt;DATE($B$3,8,1))*(RESERVAS!$D$6:$D$203&gt;DATE($B$3,7,1))*(RESERVAS!$I$6:$I$203&lt;&gt;"Cancelada")*(RESERVAS!$I$6:$I$203&lt;&gt;"Consulta")*(((RESERVAS!$D$6:$D$203&lt;DATE($B$3,8,1))*RESERVAS!$D$6:$D$203+(RESERVAS!$D$6:$D$203&gt;=DATE($B$3,8,1))*DATE($B$3,8,1))-((RESERVAS!$C$6:$C$203&gt;DATE($B$3,7,1))*RESERVAS!$C$6:$C$203+(RESERVAS!$C$6:$C$203&lt;=DATE($B$3,7,1))*DATE($B$3,7,1))))</f>
        <v>0</v>
      </c>
      <c r="D19" s="89">
        <f t="shared" si="0"/>
        <v>62</v>
      </c>
      <c r="E19" s="6">
        <f t="shared" si="1"/>
        <v>0</v>
      </c>
      <c r="F19" s="5">
        <f>SUMPRODUCT((RESERVAS!$C$6:$C$203&lt;DATE($B$3,8,1))*(RESERVAS!$D$6:$D$203&gt;DATE($B$3,7,1))*(RESERVAS!$I$6:$I$203&lt;&gt;"Cancelada")*(RESERVAS!$I$6:$I$203&lt;&gt;"Consulta")*RESERVAS!$F$6:$F$203*(((RESERVAS!$D$6:$D$203&lt;DATE($B$3,8,1))*RESERVAS!$D$6:$D$203+(RESERVAS!$D$6:$D$203&gt;=DATE($B$3,8,1))*DATE($B$3,8,1))-((RESERVAS!$C$6:$C$203&gt;DATE($B$3,7,1))*RESERVAS!$C$6:$C$203+(RESERVAS!$C$6:$C$203&lt;=DATE($B$3,7,1))*DATE($B$3,7,1))))</f>
        <v>0</v>
      </c>
      <c r="G19" s="5">
        <f>SUMPRODUCT((RESERVAS!$C$6:$C$203&lt;DATE($B$3,8,1))*(RESERVAS!$D$6:$D$203&gt;DATE($B$3,7,1))*(RESERVAS!$I$6:$I$203&lt;&gt;"Cancelada")*(RESERVAS!$I$6:$I$203&lt;&gt;"Consulta")*RESERVAS!$T$6:$T$203*(((RESERVAS!$D$6:$D$203&lt;DATE($B$3,8,1))*RESERVAS!$D$6:$D$203+(RESERVAS!$D$6:$D$203&gt;=DATE($B$3,8,1))*DATE($B$3,8,1))-((RESERVAS!$C$6:$C$203&gt;DATE($B$3,7,1))*RESERVAS!$C$6:$C$203+(RESERVAS!$C$6:$C$203&lt;=DATE($B$3,7,1))*DATE($B$3,7,1))))</f>
        <v>0</v>
      </c>
      <c r="H19" s="5">
        <f>SUMIFS('DESPESAS CASA'!$D$6:$D$305,'DESPESAS CASA'!$A$6:$A$305,"&gt;="&amp;DATE($B$3,7,1),'DESPESAS CASA'!$A$6:$A$305,"&lt;"&amp;DATE($B$3,8,1),'DESPESAS CASA'!$E$6:$E$305,"")</f>
        <v>0</v>
      </c>
      <c r="I19" s="87">
        <f t="shared" si="2"/>
        <v>0</v>
      </c>
      <c r="J19" s="16">
        <f t="shared" si="3"/>
        <v>0</v>
      </c>
    </row>
    <row r="20" spans="1:14" ht="18">
      <c r="A20" s="15" t="s">
        <v>33</v>
      </c>
      <c r="B20" s="14">
        <f>DAY(EOMONTH(DATE($B$3,8,1),0))*2</f>
        <v>62</v>
      </c>
      <c r="C20" s="89">
        <f>SUMPRODUCT((RESERVAS!$C$6:$C$203&lt;DATE($B$3,9,1))*(RESERVAS!$D$6:$D$203&gt;DATE($B$3,8,1))*(RESERVAS!$I$6:$I$203&lt;&gt;"Cancelada")*(RESERVAS!$I$6:$I$203&lt;&gt;"Consulta")*(((RESERVAS!$D$6:$D$203&lt;DATE($B$3,9,1))*RESERVAS!$D$6:$D$203+(RESERVAS!$D$6:$D$203&gt;=DATE($B$3,9,1))*DATE($B$3,9,1))-((RESERVAS!$C$6:$C$203&gt;DATE($B$3,8,1))*RESERVAS!$C$6:$C$203+(RESERVAS!$C$6:$C$203&lt;=DATE($B$3,8,1))*DATE($B$3,8,1))))</f>
        <v>0</v>
      </c>
      <c r="D20" s="89">
        <f t="shared" si="0"/>
        <v>62</v>
      </c>
      <c r="E20" s="6">
        <f t="shared" si="1"/>
        <v>0</v>
      </c>
      <c r="F20" s="5">
        <f>SUMPRODUCT((RESERVAS!$C$6:$C$203&lt;DATE($B$3,9,1))*(RESERVAS!$D$6:$D$203&gt;DATE($B$3,8,1))*(RESERVAS!$I$6:$I$203&lt;&gt;"Cancelada")*(RESERVAS!$I$6:$I$203&lt;&gt;"Consulta")*RESERVAS!$F$6:$F$203*(((RESERVAS!$D$6:$D$203&lt;DATE($B$3,9,1))*RESERVAS!$D$6:$D$203+(RESERVAS!$D$6:$D$203&gt;=DATE($B$3,9,1))*DATE($B$3,9,1))-((RESERVAS!$C$6:$C$203&gt;DATE($B$3,8,1))*RESERVAS!$C$6:$C$203+(RESERVAS!$C$6:$C$203&lt;=DATE($B$3,8,1))*DATE($B$3,8,1))))</f>
        <v>0</v>
      </c>
      <c r="G20" s="5">
        <f>SUMPRODUCT((RESERVAS!$C$6:$C$203&lt;DATE($B$3,9,1))*(RESERVAS!$D$6:$D$203&gt;DATE($B$3,8,1))*(RESERVAS!$I$6:$I$203&lt;&gt;"Cancelada")*(RESERVAS!$I$6:$I$203&lt;&gt;"Consulta")*RESERVAS!$T$6:$T$203*(((RESERVAS!$D$6:$D$203&lt;DATE($B$3,9,1))*RESERVAS!$D$6:$D$203+(RESERVAS!$D$6:$D$203&gt;=DATE($B$3,9,1))*DATE($B$3,9,1))-((RESERVAS!$C$6:$C$203&gt;DATE($B$3,8,1))*RESERVAS!$C$6:$C$203+(RESERVAS!$C$6:$C$203&lt;=DATE($B$3,8,1))*DATE($B$3,8,1))))</f>
        <v>0</v>
      </c>
      <c r="H20" s="5">
        <f>SUMIFS('DESPESAS CASA'!$D$6:$D$305,'DESPESAS CASA'!$A$6:$A$305,"&gt;="&amp;DATE($B$3,8,1),'DESPESAS CASA'!$A$6:$A$305,"&lt;"&amp;DATE($B$3,9,1),'DESPESAS CASA'!$E$6:$E$305,"")</f>
        <v>0</v>
      </c>
      <c r="I20" s="87">
        <f t="shared" si="2"/>
        <v>0</v>
      </c>
      <c r="J20" s="16">
        <f t="shared" si="3"/>
        <v>0</v>
      </c>
    </row>
    <row r="21" spans="1:14" ht="18">
      <c r="A21" s="15" t="s">
        <v>34</v>
      </c>
      <c r="B21" s="14">
        <f>DAY(EOMONTH(DATE($B$3,9,1),0))*2</f>
        <v>60</v>
      </c>
      <c r="C21" s="89">
        <f>SUMPRODUCT((RESERVAS!$C$6:$C$203&lt;DATE($B$3,10,1))*(RESERVAS!$D$6:$D$203&gt;DATE($B$3,9,1))*(RESERVAS!$I$6:$I$203&lt;&gt;"Cancelada")*(RESERVAS!$I$6:$I$203&lt;&gt;"Consulta")*(((RESERVAS!$D$6:$D$203&lt;DATE($B$3,10,1))*RESERVAS!$D$6:$D$203+(RESERVAS!$D$6:$D$203&gt;=DATE($B$3,10,1))*DATE($B$3,10,1))-((RESERVAS!$C$6:$C$203&gt;DATE($B$3,9,1))*RESERVAS!$C$6:$C$203+(RESERVAS!$C$6:$C$203&lt;=DATE($B$3,9,1))*DATE($B$3,9,1))))</f>
        <v>8</v>
      </c>
      <c r="D21" s="89">
        <f t="shared" si="0"/>
        <v>52</v>
      </c>
      <c r="E21" s="6">
        <f t="shared" si="1"/>
        <v>0.13333333333333333</v>
      </c>
      <c r="F21" s="5">
        <f>SUMPRODUCT((RESERVAS!$C$6:$C$203&lt;DATE($B$3,10,1))*(RESERVAS!$D$6:$D$203&gt;DATE($B$3,9,1))*(RESERVAS!$I$6:$I$203&lt;&gt;"Cancelada")*(RESERVAS!$I$6:$I$203&lt;&gt;"Consulta")*RESERVAS!$F$6:$F$203*(((RESERVAS!$D$6:$D$203&lt;DATE($B$3,10,1))*RESERVAS!$D$6:$D$203+(RESERVAS!$D$6:$D$203&gt;=DATE($B$3,10,1))*DATE($B$3,10,1))-((RESERVAS!$C$6:$C$203&gt;DATE($B$3,9,1))*RESERVAS!$C$6:$C$203+(RESERVAS!$C$6:$C$203&lt;=DATE($B$3,9,1))*DATE($B$3,9,1))))</f>
        <v>2800</v>
      </c>
      <c r="G21" s="5">
        <f>SUMPRODUCT((RESERVAS!$C$6:$C$203&lt;DATE($B$3,10,1))*(RESERVAS!$D$6:$D$203&gt;DATE($B$3,9,1))*(RESERVAS!$I$6:$I$203&lt;&gt;"Cancelada")*(RESERVAS!$I$6:$I$203&lt;&gt;"Consulta")*RESERVAS!$T$6:$T$203*(((RESERVAS!$D$6:$D$203&lt;DATE($B$3,10,1))*RESERVAS!$D$6:$D$203+(RESERVAS!$D$6:$D$203&gt;=DATE($B$3,10,1))*DATE($B$3,10,1))-((RESERVAS!$C$6:$C$203&gt;DATE($B$3,9,1))*RESERVAS!$C$6:$C$203+(RESERVAS!$C$6:$C$203&lt;=DATE($B$3,9,1))*DATE($B$3,9,1))))</f>
        <v>32.050000000000182</v>
      </c>
      <c r="H21" s="5">
        <f>SUMIFS('DESPESAS CASA'!$D$6:$D$305,'DESPESAS CASA'!$A$6:$A$305,"&gt;="&amp;DATE($B$3,9,1),'DESPESAS CASA'!$A$6:$A$305,"&lt;"&amp;DATE($B$3,10,1),'DESPESAS CASA'!$E$6:$E$305,"")</f>
        <v>0</v>
      </c>
      <c r="I21" s="87">
        <f t="shared" si="2"/>
        <v>2767.95</v>
      </c>
      <c r="J21" s="16">
        <f t="shared" si="3"/>
        <v>0.98855357142857136</v>
      </c>
    </row>
    <row r="22" spans="1:14" ht="18">
      <c r="A22" s="15" t="s">
        <v>35</v>
      </c>
      <c r="B22" s="14">
        <f>DAY(EOMONTH(DATE($B$3,10,1),0))*2</f>
        <v>62</v>
      </c>
      <c r="C22" s="89">
        <f>SUMPRODUCT((RESERVAS!$C$6:$C$203&lt;DATE($B$3,11,1))*(RESERVAS!$D$6:$D$203&gt;DATE($B$3,10,1))*(RESERVAS!$I$6:$I$203&lt;&gt;"Cancelada")*(RESERVAS!$I$6:$I$203&lt;&gt;"Consulta")*(((RESERVAS!$D$6:$D$203&lt;DATE($B$3,11,1))*RESERVAS!$D$6:$D$203+(RESERVAS!$D$6:$D$203&gt;=DATE($B$3,11,1))*DATE($B$3,11,1))-((RESERVAS!$C$6:$C$203&gt;DATE($B$3,10,1))*RESERVAS!$C$6:$C$203+(RESERVAS!$C$6:$C$203&lt;=DATE($B$3,10,1))*DATE($B$3,10,1))))</f>
        <v>12</v>
      </c>
      <c r="D22" s="89">
        <f t="shared" si="0"/>
        <v>50</v>
      </c>
      <c r="E22" s="6">
        <f t="shared" si="1"/>
        <v>0.19354838709677419</v>
      </c>
      <c r="F22" s="5">
        <f>SUMPRODUCT((RESERVAS!$C$6:$C$203&lt;DATE($B$3,11,1))*(RESERVAS!$D$6:$D$203&gt;DATE($B$3,10,1))*(RESERVAS!$I$6:$I$203&lt;&gt;"Cancelada")*(RESERVAS!$I$6:$I$203&lt;&gt;"Consulta")*RESERVAS!$F$6:$F$203*(((RESERVAS!$D$6:$D$203&lt;DATE($B$3,11,1))*RESERVAS!$D$6:$D$203+(RESERVAS!$D$6:$D$203&gt;=DATE($B$3,11,1))*DATE($B$3,11,1))-((RESERVAS!$C$6:$C$203&gt;DATE($B$3,10,1))*RESERVAS!$C$6:$C$203+(RESERVAS!$C$6:$C$203&lt;=DATE($B$3,10,1))*DATE($B$3,10,1))))</f>
        <v>4909.6750000000002</v>
      </c>
      <c r="G22" s="5">
        <f>SUMPRODUCT((RESERVAS!$C$6:$C$203&lt;DATE($B$3,11,1))*(RESERVAS!$D$6:$D$203&gt;DATE($B$3,10,1))*(RESERVAS!$I$6:$I$203&lt;&gt;"Cancelada")*(RESERVAS!$I$6:$I$203&lt;&gt;"Consulta")*RESERVAS!$T$6:$T$203*(((RESERVAS!$D$6:$D$203&lt;DATE($B$3,11,1))*RESERVAS!$D$6:$D$203+(RESERVAS!$D$6:$D$203&gt;=DATE($B$3,11,1))*DATE($B$3,11,1))-((RESERVAS!$C$6:$C$203&gt;DATE($B$3,10,1))*RESERVAS!$C$6:$C$203+(RESERVAS!$C$6:$C$203&lt;=DATE($B$3,10,1))*DATE($B$3,10,1))))</f>
        <v>0</v>
      </c>
      <c r="H22" s="5">
        <f>SUMIFS('DESPESAS CASA'!$D$6:$D$305,'DESPESAS CASA'!$A$6:$A$305,"&gt;="&amp;DATE($B$3,10,1),'DESPESAS CASA'!$A$6:$A$305,"&lt;"&amp;DATE($B$3,11,1),'DESPESAS CASA'!$E$6:$E$305,"")</f>
        <v>0</v>
      </c>
      <c r="I22" s="87">
        <f t="shared" si="2"/>
        <v>4909.6750000000002</v>
      </c>
      <c r="J22" s="16">
        <f t="shared" si="3"/>
        <v>1</v>
      </c>
    </row>
    <row r="23" spans="1:14" ht="18">
      <c r="A23" s="15" t="s">
        <v>36</v>
      </c>
      <c r="B23" s="14">
        <f>DAY(EOMONTH(DATE($B$3,11,1),0))*2</f>
        <v>60</v>
      </c>
      <c r="C23" s="89">
        <f>SUMPRODUCT((RESERVAS!$C$6:$C$203&lt;DATE($B$3,12,1))*(RESERVAS!$D$6:$D$203&gt;DATE($B$3,11,1))*(RESERVAS!$I$6:$I$203&lt;&gt;"Cancelada")*(RESERVAS!$I$6:$I$203&lt;&gt;"Consulta")*(((RESERVAS!$D$6:$D$203&lt;DATE($B$3,12,1))*RESERVAS!$D$6:$D$203+(RESERVAS!$D$6:$D$203&gt;=DATE($B$3,12,1))*DATE($B$3,12,1))-((RESERVAS!$C$6:$C$203&gt;DATE($B$3,11,1))*RESERVAS!$C$6:$C$203+(RESERVAS!$C$6:$C$203&lt;=DATE($B$3,11,1))*DATE($B$3,11,1))))</f>
        <v>17</v>
      </c>
      <c r="D23" s="89">
        <f t="shared" si="0"/>
        <v>43</v>
      </c>
      <c r="E23" s="6">
        <f t="shared" si="1"/>
        <v>0.28333333333333333</v>
      </c>
      <c r="F23" s="5">
        <f>SUMPRODUCT((RESERVAS!$C$6:$C$203&lt;DATE($B$3,12,1))*(RESERVAS!$D$6:$D$203&gt;DATE($B$3,11,1))*(RESERVAS!$I$6:$I$203&lt;&gt;"Cancelada")*(RESERVAS!$I$6:$I$203&lt;&gt;"Consulta")*RESERVAS!$F$6:$F$203*(((RESERVAS!$D$6:$D$203&lt;DATE($B$3,12,1))*RESERVAS!$D$6:$D$203+(RESERVAS!$D$6:$D$203&gt;=DATE($B$3,12,1))*DATE($B$3,12,1))-((RESERVAS!$C$6:$C$203&gt;DATE($B$3,11,1))*RESERVAS!$C$6:$C$203+(RESERVAS!$C$6:$C$203&lt;=DATE($B$3,11,1))*DATE($B$3,11,1))))</f>
        <v>7431.9949999999999</v>
      </c>
      <c r="G23" s="5">
        <f>SUMPRODUCT((RESERVAS!$C$6:$C$203&lt;DATE($B$3,12,1))*(RESERVAS!$D$6:$D$203&gt;DATE($B$3,11,1))*(RESERVAS!$I$6:$I$203&lt;&gt;"Cancelada")*(RESERVAS!$I$6:$I$203&lt;&gt;"Consulta")*RESERVAS!$T$6:$T$203*(((RESERVAS!$D$6:$D$203&lt;DATE($B$3,12,1))*RESERVAS!$D$6:$D$203+(RESERVAS!$D$6:$D$203&gt;=DATE($B$3,12,1))*DATE($B$3,12,1))-((RESERVAS!$C$6:$C$203&gt;DATE($B$3,11,1))*RESERVAS!$C$6:$C$203+(RESERVAS!$C$6:$C$203&lt;=DATE($B$3,11,1))*DATE($B$3,11,1))))</f>
        <v>0</v>
      </c>
      <c r="H23" s="5">
        <f>SUMIFS('DESPESAS CASA'!$D$6:$D$305,'DESPESAS CASA'!$A$6:$A$305,"&gt;="&amp;DATE($B$3,11,1),'DESPESAS CASA'!$A$6:$A$305,"&lt;"&amp;DATE($B$3,12,1),'DESPESAS CASA'!$E$6:$E$305,"")</f>
        <v>0</v>
      </c>
      <c r="I23" s="87">
        <f t="shared" si="2"/>
        <v>7431.9949999999999</v>
      </c>
      <c r="J23" s="16">
        <f t="shared" si="3"/>
        <v>1</v>
      </c>
    </row>
    <row r="24" spans="1:14" ht="18">
      <c r="A24" s="17" t="s">
        <v>37</v>
      </c>
      <c r="B24" s="18">
        <f>DAY(EOMONTH(DATE($B$3,12,1),0))*2</f>
        <v>62</v>
      </c>
      <c r="C24" s="90">
        <f>SUMPRODUCT((RESERVAS!$C$6:$C$203&lt;DATE($B$3,13,1))*(RESERVAS!$D$6:$D$203&gt;DATE($B$3,12,1))*(RESERVAS!$I$6:$I$203&lt;&gt;"Cancelada")*(RESERVAS!$I$6:$I$203&lt;&gt;"Consulta")*(((RESERVAS!$D$6:$D$203&lt;DATE($B$3,13,1))*RESERVAS!$D$6:$D$203+(RESERVAS!$D$6:$D$203&gt;=DATE($B$3,13,1))*DATE($B$3,13,1))-((RESERVAS!$C$6:$C$203&gt;DATE($B$3,12,1))*RESERVAS!$C$6:$C$203+(RESERVAS!$C$6:$C$203&lt;=DATE($B$3,12,1))*DATE($B$3,12,1))))</f>
        <v>16</v>
      </c>
      <c r="D24" s="90">
        <f t="shared" si="0"/>
        <v>46</v>
      </c>
      <c r="E24" s="19">
        <f t="shared" si="1"/>
        <v>0.25806451612903225</v>
      </c>
      <c r="F24" s="20">
        <f>SUMPRODUCT((RESERVAS!$C$6:$C$203&lt;DATE($B$3,13,1))*(RESERVAS!$D$6:$D$203&gt;DATE($B$3,12,1))*(RESERVAS!$I$6:$I$203&lt;&gt;"Cancelada")*(RESERVAS!$I$6:$I$203&lt;&gt;"Consulta")*RESERVAS!$F$6:$F$203*(((RESERVAS!$D$6:$D$203&lt;DATE($B$3,13,1))*RESERVAS!$D$6:$D$203+(RESERVAS!$D$6:$D$203&gt;=DATE($B$3,13,1))*DATE($B$3,13,1))-((RESERVAS!$C$6:$C$203&gt;DATE($B$3,12,1))*RESERVAS!$C$6:$C$203+(RESERVAS!$C$6:$C$203&lt;=DATE($B$3,12,1))*DATE($B$3,12,1))))</f>
        <v>13400</v>
      </c>
      <c r="G24" s="20">
        <f>SUMPRODUCT((RESERVAS!$C$6:$C$203&lt;DATE($B$3,13,1))*(RESERVAS!$D$6:$D$203&gt;DATE($B$3,12,1))*(RESERVAS!$I$6:$I$203&lt;&gt;"Cancelada")*(RESERVAS!$I$6:$I$203&lt;&gt;"Consulta")*RESERVAS!$T$6:$T$203*(((RESERVAS!$D$6:$D$203&lt;DATE($B$3,13,1))*RESERVAS!$D$6:$D$203+(RESERVAS!$D$6:$D$203&gt;=DATE($B$3,13,1))*DATE($B$3,13,1))-((RESERVAS!$C$6:$C$203&gt;DATE($B$3,12,1))*RESERVAS!$C$6:$C$203+(RESERVAS!$C$6:$C$203&lt;=DATE($B$3,12,1))*DATE($B$3,12,1))))</f>
        <v>0</v>
      </c>
      <c r="H24" s="20">
        <f>SUMIFS('DESPESAS CASA'!$D$6:$D$305,'DESPESAS CASA'!$A$6:$A$305,"&gt;="&amp;DATE($B$3,12,1),'DESPESAS CASA'!$A$6:$A$305,"&lt;"&amp;DATE($B$3,13,1),'DESPESAS CASA'!$E$6:$E$305,"")</f>
        <v>0</v>
      </c>
      <c r="I24" s="88">
        <f t="shared" si="2"/>
        <v>13400</v>
      </c>
      <c r="J24" s="21">
        <f t="shared" si="3"/>
        <v>1</v>
      </c>
    </row>
  </sheetData>
  <mergeCells count="2">
    <mergeCell ref="A1:N1"/>
    <mergeCell ref="L12:N12"/>
  </mergeCells>
  <conditionalFormatting sqref="E13:E24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{90F4BC7A-ABBD-72D5-E0CF-D59801F0A8DD}</x14:id>
        </ext>
      </extLst>
    </cfRule>
  </conditionalFormatting>
  <conditionalFormatting sqref="I13:I24">
    <cfRule type="cellIs" dxfId="36" priority="2" operator="lessThan">
      <formula>0</formula>
    </cfRule>
  </conditionalFormatting>
  <dataValidations disablePrompts="1" count="1">
    <dataValidation type="list" sqref="B3" xr:uid="{00000000-0002-0000-0000-000000000000}">
      <formula1>"2026,2027,2028,2029,2030"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F4BC7A-ABBD-72D5-E0CF-D59801F0A8DD}">
            <x14:dataBar>
              <x14:cfvo type="min"/>
              <x14:cfvo type="max"/>
              <x14:negativeFillColor auto="1"/>
              <x14:axisColor auto="1"/>
            </x14:dataBar>
          </x14:cfRule>
          <xm:sqref>E13:E24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G9" sqref="G9"/>
    </sheetView>
  </sheetViews>
  <sheetFormatPr defaultRowHeight="14.25"/>
  <cols>
    <col min="1" max="7" width="18" customWidth="1"/>
    <col min="9" max="9" width="27.875" customWidth="1"/>
    <col min="10" max="10" width="22" customWidth="1"/>
    <col min="11" max="12" width="13" customWidth="1"/>
  </cols>
  <sheetData>
    <row r="1" spans="1:12" ht="24" customHeight="1">
      <c r="A1" s="120" t="s">
        <v>38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2" ht="15">
      <c r="A2" s="1" t="s">
        <v>11</v>
      </c>
      <c r="B2" s="7" t="s">
        <v>34</v>
      </c>
      <c r="D2" s="1" t="s">
        <v>1</v>
      </c>
      <c r="E2" s="7">
        <v>2026</v>
      </c>
      <c r="J2" s="28" t="s">
        <v>39</v>
      </c>
      <c r="K2" s="28">
        <f>MATCH(B2,LISTAS!$A$4:$A$15,0)</f>
        <v>9</v>
      </c>
    </row>
    <row r="4" spans="1:12" ht="24" customHeight="1">
      <c r="A4" s="2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3" t="s">
        <v>46</v>
      </c>
      <c r="I4" s="122" t="s">
        <v>47</v>
      </c>
      <c r="J4" s="122"/>
      <c r="K4" s="122"/>
      <c r="L4" s="122"/>
    </row>
    <row r="5" spans="1:12" ht="60.75" customHeight="1">
      <c r="A5" s="29" t="str">
        <f>IF(MONTH((DATE($E$2,$K$2,1)-WEEKDAY(DATE($E$2,$K$2,1),2)+1+0))&lt;&gt;$K$2,"",TEXT((DATE($E$2,$K$2,1)-WEEKDAY(DATE($E$2,$K$2,1),2)+1+0),"dd")&amp;CHAR(10)&amp;IF(COUNTIFS(RESERVAS!$C$6:$C$203,"&lt;="&amp;(DATE($E$2,$K$2,1)-WEEKDAY(DATE($E$2,$K$2,1),2)+1+0),RESERVAS!$D$6:$D$203,"&gt;"&amp;(DATE($E$2,$K$2,1)-WEEKDAY(DATE($E$2,$K$2,1),2)+1+0),RESERVAS!$I$6:$I$203,"&lt;&gt;Cancelada",RESERVAS!$I$6:$I$203,"&lt;&gt;Consulta")=0,"DISPONÍVEL",IF(COUNTIFS(RESERVAS!$C$6:$C$203,"&lt;="&amp;(DATE($E$2,$K$2,1)-WEEKDAY(DATE($E$2,$K$2,1),2)+1+0),RESERVAS!$D$6:$D$203,"&gt;"&amp;(DATE($E$2,$K$2,1)-WEEKDAY(DATE($E$2,$K$2,1),2)+1+0),RESERVAS!$I$6:$I$203,"&lt;&gt;Cancelada",RESERVAS!$I$6:$I$203,"&lt;&gt;Consulta")=1,"ALUGADA","CONFLITO"))&amp;IF(COUNTIFS(RESERVAS!$C$6:$C$203,"&lt;="&amp;(DATE($E$2,$K$2,1)-WEEKDAY(DATE($E$2,$K$2,1),2)+1+0),RESERVAS!$D$6:$D$203,"&gt;"&amp;(DATE($E$2,$K$2,1)-WEEKDAY(DATE($E$2,$K$2,1),2)+1+0),RESERVAS!$I$6:$I$203,"&lt;&gt;Cancelada",RESERVAS!$I$6:$I$203,"&lt;&gt;Consulta")=0,"",CHAR(10)&amp;IFERROR(LOOKUP(2,1/((RESERVAS!$C$6:$C$203&lt;=(DATE($E$2,$K$2,1)-WEEKDAY(DATE($E$2,$K$2,1),2)+1+0))*(RESERVAS!$D$6:$D$203&gt;(DATE($E$2,$K$2,1)-WEEKDAY(DATE($E$2,$K$2,1),2)+1+0))*(RESERVAS!$I$6:$I$203&lt;&gt;"Cancelada")*(RESERVAS!$I$6:$I$203&lt;&gt;"Consulta")),RESERVAS!$B$6:$B$203),"")))</f>
        <v/>
      </c>
      <c r="B5" s="30" t="str">
        <f>IF(MONTH((DATE($E$2,$K$2,1)-WEEKDAY(DATE($E$2,$K$2,1),2)+1+1))&lt;&gt;$K$2,"",TEXT((DATE($E$2,$K$2,1)-WEEKDAY(DATE($E$2,$K$2,1),2)+1+1),"dd")&amp;CHAR(10)&amp;IF(COUNTIFS(RESERVAS!$C$6:$C$203,"&lt;="&amp;(DATE($E$2,$K$2,1)-WEEKDAY(DATE($E$2,$K$2,1),2)+1+1),RESERVAS!$D$6:$D$203,"&gt;"&amp;(DATE($E$2,$K$2,1)-WEEKDAY(DATE($E$2,$K$2,1),2)+1+1),RESERVAS!$I$6:$I$203,"&lt;&gt;Cancelada",RESERVAS!$I$6:$I$203,"&lt;&gt;Consulta")=0,"DISPONÍVEL",IF(COUNTIFS(RESERVAS!$C$6:$C$203,"&lt;="&amp;(DATE($E$2,$K$2,1)-WEEKDAY(DATE($E$2,$K$2,1),2)+1+1),RESERVAS!$D$6:$D$203,"&gt;"&amp;(DATE($E$2,$K$2,1)-WEEKDAY(DATE($E$2,$K$2,1),2)+1+1),RESERVAS!$I$6:$I$203,"&lt;&gt;Cancelada",RESERVAS!$I$6:$I$203,"&lt;&gt;Consulta")=1,"ALUGADA","CONFLITO"))&amp;IF(COUNTIFS(RESERVAS!$C$6:$C$203,"&lt;="&amp;(DATE($E$2,$K$2,1)-WEEKDAY(DATE($E$2,$K$2,1),2)+1+1),RESERVAS!$D$6:$D$203,"&gt;"&amp;(DATE($E$2,$K$2,1)-WEEKDAY(DATE($E$2,$K$2,1),2)+1+1),RESERVAS!$I$6:$I$203,"&lt;&gt;Cancelada",RESERVAS!$I$6:$I$203,"&lt;&gt;Consulta")=0,"",CHAR(10)&amp;IFERROR(LOOKUP(2,1/((RESERVAS!$C$6:$C$203&lt;=(DATE($E$2,$K$2,1)-WEEKDAY(DATE($E$2,$K$2,1),2)+1+1))*(RESERVAS!$D$6:$D$203&gt;(DATE($E$2,$K$2,1)-WEEKDAY(DATE($E$2,$K$2,1),2)+1+1))*(RESERVAS!$I$6:$I$203&lt;&gt;"Cancelada")*(RESERVAS!$I$6:$I$203&lt;&gt;"Consulta")),RESERVAS!$B$6:$B$203),"")))</f>
        <v>01
DISPONÍVEL</v>
      </c>
      <c r="C5" s="30" t="str">
        <f>IF(MONTH((DATE($E$2,$K$2,1)-WEEKDAY(DATE($E$2,$K$2,1),2)+1+2))&lt;&gt;$K$2,"",TEXT((DATE($E$2,$K$2,1)-WEEKDAY(DATE($E$2,$K$2,1),2)+1+2),"dd")&amp;CHAR(10)&amp;IF(COUNTIFS(RESERVAS!$C$6:$C$203,"&lt;="&amp;(DATE($E$2,$K$2,1)-WEEKDAY(DATE($E$2,$K$2,1),2)+1+2),RESERVAS!$D$6:$D$203,"&gt;"&amp;(DATE($E$2,$K$2,1)-WEEKDAY(DATE($E$2,$K$2,1),2)+1+2),RESERVAS!$I$6:$I$203,"&lt;&gt;Cancelada",RESERVAS!$I$6:$I$203,"&lt;&gt;Consulta")=0,"DISPONÍVEL",IF(COUNTIFS(RESERVAS!$C$6:$C$203,"&lt;="&amp;(DATE($E$2,$K$2,1)-WEEKDAY(DATE($E$2,$K$2,1),2)+1+2),RESERVAS!$D$6:$D$203,"&gt;"&amp;(DATE($E$2,$K$2,1)-WEEKDAY(DATE($E$2,$K$2,1),2)+1+2),RESERVAS!$I$6:$I$203,"&lt;&gt;Cancelada",RESERVAS!$I$6:$I$203,"&lt;&gt;Consulta")=1,"ALUGADA","CONFLITO"))&amp;IF(COUNTIFS(RESERVAS!$C$6:$C$203,"&lt;="&amp;(DATE($E$2,$K$2,1)-WEEKDAY(DATE($E$2,$K$2,1),2)+1+2),RESERVAS!$D$6:$D$203,"&gt;"&amp;(DATE($E$2,$K$2,1)-WEEKDAY(DATE($E$2,$K$2,1),2)+1+2),RESERVAS!$I$6:$I$203,"&lt;&gt;Cancelada",RESERVAS!$I$6:$I$203,"&lt;&gt;Consulta")=0,"",CHAR(10)&amp;IFERROR(LOOKUP(2,1/((RESERVAS!$C$6:$C$203&lt;=(DATE($E$2,$K$2,1)-WEEKDAY(DATE($E$2,$K$2,1),2)+1+2))*(RESERVAS!$D$6:$D$203&gt;(DATE($E$2,$K$2,1)-WEEKDAY(DATE($E$2,$K$2,1),2)+1+2))*(RESERVAS!$I$6:$I$203&lt;&gt;"Cancelada")*(RESERVAS!$I$6:$I$203&lt;&gt;"Consulta")),RESERVAS!$B$6:$B$203),"")))</f>
        <v>02
DISPONÍVEL</v>
      </c>
      <c r="D5" s="30" t="str">
        <f>IF(MONTH((DATE($E$2,$K$2,1)-WEEKDAY(DATE($E$2,$K$2,1),2)+1+3))&lt;&gt;$K$2,"",TEXT((DATE($E$2,$K$2,1)-WEEKDAY(DATE($E$2,$K$2,1),2)+1+3),"dd")&amp;CHAR(10)&amp;IF(COUNTIFS(RESERVAS!$C$6:$C$203,"&lt;="&amp;(DATE($E$2,$K$2,1)-WEEKDAY(DATE($E$2,$K$2,1),2)+1+3),RESERVAS!$D$6:$D$203,"&gt;"&amp;(DATE($E$2,$K$2,1)-WEEKDAY(DATE($E$2,$K$2,1),2)+1+3),RESERVAS!$I$6:$I$203,"&lt;&gt;Cancelada",RESERVAS!$I$6:$I$203,"&lt;&gt;Consulta")=0,"DISPONÍVEL",IF(COUNTIFS(RESERVAS!$C$6:$C$203,"&lt;="&amp;(DATE($E$2,$K$2,1)-WEEKDAY(DATE($E$2,$K$2,1),2)+1+3),RESERVAS!$D$6:$D$203,"&gt;"&amp;(DATE($E$2,$K$2,1)-WEEKDAY(DATE($E$2,$K$2,1),2)+1+3),RESERVAS!$I$6:$I$203,"&lt;&gt;Cancelada",RESERVAS!$I$6:$I$203,"&lt;&gt;Consulta")=1,"ALUGADA","CONFLITO"))&amp;IF(COUNTIFS(RESERVAS!$C$6:$C$203,"&lt;="&amp;(DATE($E$2,$K$2,1)-WEEKDAY(DATE($E$2,$K$2,1),2)+1+3),RESERVAS!$D$6:$D$203,"&gt;"&amp;(DATE($E$2,$K$2,1)-WEEKDAY(DATE($E$2,$K$2,1),2)+1+3),RESERVAS!$I$6:$I$203,"&lt;&gt;Cancelada",RESERVAS!$I$6:$I$203,"&lt;&gt;Consulta")=0,"",CHAR(10)&amp;IFERROR(LOOKUP(2,1/((RESERVAS!$C$6:$C$203&lt;=(DATE($E$2,$K$2,1)-WEEKDAY(DATE($E$2,$K$2,1),2)+1+3))*(RESERVAS!$D$6:$D$203&gt;(DATE($E$2,$K$2,1)-WEEKDAY(DATE($E$2,$K$2,1),2)+1+3))*(RESERVAS!$I$6:$I$203&lt;&gt;"Cancelada")*(RESERVAS!$I$6:$I$203&lt;&gt;"Consulta")),RESERVAS!$B$6:$B$203),"")))</f>
        <v>03
DISPONÍVEL</v>
      </c>
      <c r="E5" s="30" t="str">
        <f>IF(MONTH((DATE($E$2,$K$2,1)-WEEKDAY(DATE($E$2,$K$2,1),2)+1+4))&lt;&gt;$K$2,"",TEXT((DATE($E$2,$K$2,1)-WEEKDAY(DATE($E$2,$K$2,1),2)+1+4),"dd")&amp;CHAR(10)&amp;IF(COUNTIFS(RESERVAS!$C$6:$C$203,"&lt;="&amp;(DATE($E$2,$K$2,1)-WEEKDAY(DATE($E$2,$K$2,1),2)+1+4),RESERVAS!$D$6:$D$203,"&gt;"&amp;(DATE($E$2,$K$2,1)-WEEKDAY(DATE($E$2,$K$2,1),2)+1+4),RESERVAS!$I$6:$I$203,"&lt;&gt;Cancelada",RESERVAS!$I$6:$I$203,"&lt;&gt;Consulta")=0,"DISPONÍVEL",IF(COUNTIFS(RESERVAS!$C$6:$C$203,"&lt;="&amp;(DATE($E$2,$K$2,1)-WEEKDAY(DATE($E$2,$K$2,1),2)+1+4),RESERVAS!$D$6:$D$203,"&gt;"&amp;(DATE($E$2,$K$2,1)-WEEKDAY(DATE($E$2,$K$2,1),2)+1+4),RESERVAS!$I$6:$I$203,"&lt;&gt;Cancelada",RESERVAS!$I$6:$I$203,"&lt;&gt;Consulta")=1,"ALUGADA","CONFLITO"))&amp;IF(COUNTIFS(RESERVAS!$C$6:$C$203,"&lt;="&amp;(DATE($E$2,$K$2,1)-WEEKDAY(DATE($E$2,$K$2,1),2)+1+4),RESERVAS!$D$6:$D$203,"&gt;"&amp;(DATE($E$2,$K$2,1)-WEEKDAY(DATE($E$2,$K$2,1),2)+1+4),RESERVAS!$I$6:$I$203,"&lt;&gt;Cancelada",RESERVAS!$I$6:$I$203,"&lt;&gt;Consulta")=0,"",CHAR(10)&amp;IFERROR(LOOKUP(2,1/((RESERVAS!$C$6:$C$203&lt;=(DATE($E$2,$K$2,1)-WEEKDAY(DATE($E$2,$K$2,1),2)+1+4))*(RESERVAS!$D$6:$D$203&gt;(DATE($E$2,$K$2,1)-WEEKDAY(DATE($E$2,$K$2,1),2)+1+4))*(RESERVAS!$I$6:$I$203&lt;&gt;"Cancelada")*(RESERVAS!$I$6:$I$203&lt;&gt;"Consulta")),RESERVAS!$B$6:$B$203),"")))</f>
        <v>04
ALUGADA
Regina - 7 de Setembro</v>
      </c>
      <c r="F5" s="30" t="str">
        <f>IF(MONTH((DATE($E$2,$K$2,1)-WEEKDAY(DATE($E$2,$K$2,1),2)+1+5))&lt;&gt;$K$2,"",TEXT((DATE($E$2,$K$2,1)-WEEKDAY(DATE($E$2,$K$2,1),2)+1+5),"dd")&amp;CHAR(10)&amp;IF(COUNTIFS(RESERVAS!$C$6:$C$203,"&lt;="&amp;(DATE($E$2,$K$2,1)-WEEKDAY(DATE($E$2,$K$2,1),2)+1+5),RESERVAS!$D$6:$D$203,"&gt;"&amp;(DATE($E$2,$K$2,1)-WEEKDAY(DATE($E$2,$K$2,1),2)+1+5),RESERVAS!$I$6:$I$203,"&lt;&gt;Cancelada",RESERVAS!$I$6:$I$203,"&lt;&gt;Consulta")=0,"DISPONÍVEL",IF(COUNTIFS(RESERVAS!$C$6:$C$203,"&lt;="&amp;(DATE($E$2,$K$2,1)-WEEKDAY(DATE($E$2,$K$2,1),2)+1+5),RESERVAS!$D$6:$D$203,"&gt;"&amp;(DATE($E$2,$K$2,1)-WEEKDAY(DATE($E$2,$K$2,1),2)+1+5),RESERVAS!$I$6:$I$203,"&lt;&gt;Cancelada",RESERVAS!$I$6:$I$203,"&lt;&gt;Consulta")=1,"ALUGADA","CONFLITO"))&amp;IF(COUNTIFS(RESERVAS!$C$6:$C$203,"&lt;="&amp;(DATE($E$2,$K$2,1)-WEEKDAY(DATE($E$2,$K$2,1),2)+1+5),RESERVAS!$D$6:$D$203,"&gt;"&amp;(DATE($E$2,$K$2,1)-WEEKDAY(DATE($E$2,$K$2,1),2)+1+5),RESERVAS!$I$6:$I$203,"&lt;&gt;Cancelada",RESERVAS!$I$6:$I$203,"&lt;&gt;Consulta")=0,"",CHAR(10)&amp;IFERROR(LOOKUP(2,1/((RESERVAS!$C$6:$C$203&lt;=(DATE($E$2,$K$2,1)-WEEKDAY(DATE($E$2,$K$2,1),2)+1+5))*(RESERVAS!$D$6:$D$203&gt;(DATE($E$2,$K$2,1)-WEEKDAY(DATE($E$2,$K$2,1),2)+1+5))*(RESERVAS!$I$6:$I$203&lt;&gt;"Cancelada")*(RESERVAS!$I$6:$I$203&lt;&gt;"Consulta")),RESERVAS!$B$6:$B$203),"")))</f>
        <v>05
ALUGADA
Regina - 7 de Setembro</v>
      </c>
      <c r="G5" s="31" t="str">
        <f>IF(MONTH((DATE($E$2,$K$2,1)-WEEKDAY(DATE($E$2,$K$2,1),2)+1+6))&lt;&gt;$K$2,"",TEXT((DATE($E$2,$K$2,1)-WEEKDAY(DATE($E$2,$K$2,1),2)+1+6),"dd")&amp;CHAR(10)&amp;IF(COUNTIFS(RESERVAS!$C$6:$C$203,"&lt;="&amp;(DATE($E$2,$K$2,1)-WEEKDAY(DATE($E$2,$K$2,1),2)+1+6),RESERVAS!$D$6:$D$203,"&gt;"&amp;(DATE($E$2,$K$2,1)-WEEKDAY(DATE($E$2,$K$2,1),2)+1+6),RESERVAS!$I$6:$I$203,"&lt;&gt;Cancelada",RESERVAS!$I$6:$I$203,"&lt;&gt;Consulta")=0,"DISPONÍVEL",IF(COUNTIFS(RESERVAS!$C$6:$C$203,"&lt;="&amp;(DATE($E$2,$K$2,1)-WEEKDAY(DATE($E$2,$K$2,1),2)+1+6),RESERVAS!$D$6:$D$203,"&gt;"&amp;(DATE($E$2,$K$2,1)-WEEKDAY(DATE($E$2,$K$2,1),2)+1+6),RESERVAS!$I$6:$I$203,"&lt;&gt;Cancelada",RESERVAS!$I$6:$I$203,"&lt;&gt;Consulta")=1,"ALUGADA","CONFLITO"))&amp;IF(COUNTIFS(RESERVAS!$C$6:$C$203,"&lt;="&amp;(DATE($E$2,$K$2,1)-WEEKDAY(DATE($E$2,$K$2,1),2)+1+6),RESERVAS!$D$6:$D$203,"&gt;"&amp;(DATE($E$2,$K$2,1)-WEEKDAY(DATE($E$2,$K$2,1),2)+1+6),RESERVAS!$I$6:$I$203,"&lt;&gt;Cancelada",RESERVAS!$I$6:$I$203,"&lt;&gt;Consulta")=0,"",CHAR(10)&amp;IFERROR(LOOKUP(2,1/((RESERVAS!$C$6:$C$203&lt;=(DATE($E$2,$K$2,1)-WEEKDAY(DATE($E$2,$K$2,1),2)+1+6))*(RESERVAS!$D$6:$D$203&gt;(DATE($E$2,$K$2,1)-WEEKDAY(DATE($E$2,$K$2,1),2)+1+6))*(RESERVAS!$I$6:$I$203&lt;&gt;"Cancelada")*(RESERVAS!$I$6:$I$203&lt;&gt;"Consulta")),RESERVAS!$B$6:$B$203),"")))</f>
        <v>06
ALUGADA
Regina - 7 de Setembro</v>
      </c>
      <c r="I5" s="35" t="s">
        <v>16</v>
      </c>
      <c r="J5" s="36">
        <f>SUMPRODUCT((RESERVAS!$C$6:$C$203&lt;DATE($E$2,$K$2+1,1))*(RESERVAS!$D$6:$D$203&gt;DATE($E$2,$K$2,1))*(RESERVAS!$I$6:$I$203&lt;&gt;"Cancelada")*(RESERVAS!$I$6:$I$203&lt;&gt;"Consulta")*RESERVAS!$F$6:$F$203*(((RESERVAS!$D$6:$D$203&lt;DATE($E$2,$K$2+1,1))*RESERVAS!$D$6:$D$203+(RESERVAS!$D$6:$D$203&gt;=DATE($E$2,$K$2+1,1))*DATE($E$2,$K$2+1,1))-((RESERVAS!$C$6:$C$203&gt;DATE($E$2,$K$2,1))*RESERVAS!$C$6:$C$203+(RESERVAS!$C$6:$C$203&lt;=DATE($E$2,$K$2,1))*DATE($E$2,$K$2,1))))</f>
        <v>2800</v>
      </c>
    </row>
    <row r="6" spans="1:12" ht="60.75" customHeight="1">
      <c r="A6" s="32" t="str">
        <f>IF(MONTH((DATE($E$2,$K$2,1)-WEEKDAY(DATE($E$2,$K$2,1),2)+1+7))&lt;&gt;$K$2,"",TEXT((DATE($E$2,$K$2,1)-WEEKDAY(DATE($E$2,$K$2,1),2)+1+7),"dd")&amp;CHAR(10)&amp;IF(COUNTIFS(RESERVAS!$C$6:$C$203,"&lt;="&amp;(DATE($E$2,$K$2,1)-WEEKDAY(DATE($E$2,$K$2,1),2)+1+7),RESERVAS!$D$6:$D$203,"&gt;"&amp;(DATE($E$2,$K$2,1)-WEEKDAY(DATE($E$2,$K$2,1),2)+1+7),RESERVAS!$I$6:$I$203,"&lt;&gt;Cancelada",RESERVAS!$I$6:$I$203,"&lt;&gt;Consulta")=0,"DISPONÍVEL",IF(COUNTIFS(RESERVAS!$C$6:$C$203,"&lt;="&amp;(DATE($E$2,$K$2,1)-WEEKDAY(DATE($E$2,$K$2,1),2)+1+7),RESERVAS!$D$6:$D$203,"&gt;"&amp;(DATE($E$2,$K$2,1)-WEEKDAY(DATE($E$2,$K$2,1),2)+1+7),RESERVAS!$I$6:$I$203,"&lt;&gt;Cancelada",RESERVAS!$I$6:$I$203,"&lt;&gt;Consulta")=1,"ALUGADA","CONFLITO"))&amp;IF(COUNTIFS(RESERVAS!$C$6:$C$203,"&lt;="&amp;(DATE($E$2,$K$2,1)-WEEKDAY(DATE($E$2,$K$2,1),2)+1+7),RESERVAS!$D$6:$D$203,"&gt;"&amp;(DATE($E$2,$K$2,1)-WEEKDAY(DATE($E$2,$K$2,1),2)+1+7),RESERVAS!$I$6:$I$203,"&lt;&gt;Cancelada",RESERVAS!$I$6:$I$203,"&lt;&gt;Consulta")=0,"",CHAR(10)&amp;IFERROR(LOOKUP(2,1/((RESERVAS!$C$6:$C$203&lt;=(DATE($E$2,$K$2,1)-WEEKDAY(DATE($E$2,$K$2,1),2)+1+7))*(RESERVAS!$D$6:$D$203&gt;(DATE($E$2,$K$2,1)-WEEKDAY(DATE($E$2,$K$2,1),2)+1+7))*(RESERVAS!$I$6:$I$203&lt;&gt;"Cancelada")*(RESERVAS!$I$6:$I$203&lt;&gt;"Consulta")),RESERVAS!$B$6:$B$203),"")))</f>
        <v>07
ALUGADA
Regina - 7 de Setembro</v>
      </c>
      <c r="B6" s="33" t="str">
        <f>IF(MONTH((DATE($E$2,$K$2,1)-WEEKDAY(DATE($E$2,$K$2,1),2)+1+8))&lt;&gt;$K$2,"",TEXT((DATE($E$2,$K$2,1)-WEEKDAY(DATE($E$2,$K$2,1),2)+1+8),"dd")&amp;CHAR(10)&amp;IF(COUNTIFS(RESERVAS!$C$6:$C$203,"&lt;="&amp;(DATE($E$2,$K$2,1)-WEEKDAY(DATE($E$2,$K$2,1),2)+1+8),RESERVAS!$D$6:$D$203,"&gt;"&amp;(DATE($E$2,$K$2,1)-WEEKDAY(DATE($E$2,$K$2,1),2)+1+8),RESERVAS!$I$6:$I$203,"&lt;&gt;Cancelada",RESERVAS!$I$6:$I$203,"&lt;&gt;Consulta")=0,"DISPONÍVEL",IF(COUNTIFS(RESERVAS!$C$6:$C$203,"&lt;="&amp;(DATE($E$2,$K$2,1)-WEEKDAY(DATE($E$2,$K$2,1),2)+1+8),RESERVAS!$D$6:$D$203,"&gt;"&amp;(DATE($E$2,$K$2,1)-WEEKDAY(DATE($E$2,$K$2,1),2)+1+8),RESERVAS!$I$6:$I$203,"&lt;&gt;Cancelada",RESERVAS!$I$6:$I$203,"&lt;&gt;Consulta")=1,"ALUGADA","CONFLITO"))&amp;IF(COUNTIFS(RESERVAS!$C$6:$C$203,"&lt;="&amp;(DATE($E$2,$K$2,1)-WEEKDAY(DATE($E$2,$K$2,1),2)+1+8),RESERVAS!$D$6:$D$203,"&gt;"&amp;(DATE($E$2,$K$2,1)-WEEKDAY(DATE($E$2,$K$2,1),2)+1+8),RESERVAS!$I$6:$I$203,"&lt;&gt;Cancelada",RESERVAS!$I$6:$I$203,"&lt;&gt;Consulta")=0,"",CHAR(10)&amp;IFERROR(LOOKUP(2,1/((RESERVAS!$C$6:$C$203&lt;=(DATE($E$2,$K$2,1)-WEEKDAY(DATE($E$2,$K$2,1),2)+1+8))*(RESERVAS!$D$6:$D$203&gt;(DATE($E$2,$K$2,1)-WEEKDAY(DATE($E$2,$K$2,1),2)+1+8))*(RESERVAS!$I$6:$I$203&lt;&gt;"Cancelada")*(RESERVAS!$I$6:$I$203&lt;&gt;"Consulta")),RESERVAS!$B$6:$B$203),"")))</f>
        <v>08
DISPONÍVEL</v>
      </c>
      <c r="C6" s="33" t="str">
        <f>IF(MONTH((DATE($E$2,$K$2,1)-WEEKDAY(DATE($E$2,$K$2,1),2)+1+9))&lt;&gt;$K$2,"",TEXT((DATE($E$2,$K$2,1)-WEEKDAY(DATE($E$2,$K$2,1),2)+1+9),"dd")&amp;CHAR(10)&amp;IF(COUNTIFS(RESERVAS!$C$6:$C$203,"&lt;="&amp;(DATE($E$2,$K$2,1)-WEEKDAY(DATE($E$2,$K$2,1),2)+1+9),RESERVAS!$D$6:$D$203,"&gt;"&amp;(DATE($E$2,$K$2,1)-WEEKDAY(DATE($E$2,$K$2,1),2)+1+9),RESERVAS!$I$6:$I$203,"&lt;&gt;Cancelada",RESERVAS!$I$6:$I$203,"&lt;&gt;Consulta")=0,"DISPONÍVEL",IF(COUNTIFS(RESERVAS!$C$6:$C$203,"&lt;="&amp;(DATE($E$2,$K$2,1)-WEEKDAY(DATE($E$2,$K$2,1),2)+1+9),RESERVAS!$D$6:$D$203,"&gt;"&amp;(DATE($E$2,$K$2,1)-WEEKDAY(DATE($E$2,$K$2,1),2)+1+9),RESERVAS!$I$6:$I$203,"&lt;&gt;Cancelada",RESERVAS!$I$6:$I$203,"&lt;&gt;Consulta")=1,"ALUGADA","CONFLITO"))&amp;IF(COUNTIFS(RESERVAS!$C$6:$C$203,"&lt;="&amp;(DATE($E$2,$K$2,1)-WEEKDAY(DATE($E$2,$K$2,1),2)+1+9),RESERVAS!$D$6:$D$203,"&gt;"&amp;(DATE($E$2,$K$2,1)-WEEKDAY(DATE($E$2,$K$2,1),2)+1+9),RESERVAS!$I$6:$I$203,"&lt;&gt;Cancelada",RESERVAS!$I$6:$I$203,"&lt;&gt;Consulta")=0,"",CHAR(10)&amp;IFERROR(LOOKUP(2,1/((RESERVAS!$C$6:$C$203&lt;=(DATE($E$2,$K$2,1)-WEEKDAY(DATE($E$2,$K$2,1),2)+1+9))*(RESERVAS!$D$6:$D$203&gt;(DATE($E$2,$K$2,1)-WEEKDAY(DATE($E$2,$K$2,1),2)+1+9))*(RESERVAS!$I$6:$I$203&lt;&gt;"Cancelada")*(RESERVAS!$I$6:$I$203&lt;&gt;"Consulta")),RESERVAS!$B$6:$B$203),"")))</f>
        <v>09
DISPONÍVEL</v>
      </c>
      <c r="D6" s="33" t="str">
        <f>IF(MONTH((DATE($E$2,$K$2,1)-WEEKDAY(DATE($E$2,$K$2,1),2)+1+10))&lt;&gt;$K$2,"",TEXT((DATE($E$2,$K$2,1)-WEEKDAY(DATE($E$2,$K$2,1),2)+1+10),"dd")&amp;CHAR(10)&amp;IF(COUNTIFS(RESERVAS!$C$6:$C$203,"&lt;="&amp;(DATE($E$2,$K$2,1)-WEEKDAY(DATE($E$2,$K$2,1),2)+1+10),RESERVAS!$D$6:$D$203,"&gt;"&amp;(DATE($E$2,$K$2,1)-WEEKDAY(DATE($E$2,$K$2,1),2)+1+10),RESERVAS!$I$6:$I$203,"&lt;&gt;Cancelada",RESERVAS!$I$6:$I$203,"&lt;&gt;Consulta")=0,"DISPONÍVEL",IF(COUNTIFS(RESERVAS!$C$6:$C$203,"&lt;="&amp;(DATE($E$2,$K$2,1)-WEEKDAY(DATE($E$2,$K$2,1),2)+1+10),RESERVAS!$D$6:$D$203,"&gt;"&amp;(DATE($E$2,$K$2,1)-WEEKDAY(DATE($E$2,$K$2,1),2)+1+10),RESERVAS!$I$6:$I$203,"&lt;&gt;Cancelada",RESERVAS!$I$6:$I$203,"&lt;&gt;Consulta")=1,"ALUGADA","CONFLITO"))&amp;IF(COUNTIFS(RESERVAS!$C$6:$C$203,"&lt;="&amp;(DATE($E$2,$K$2,1)-WEEKDAY(DATE($E$2,$K$2,1),2)+1+10),RESERVAS!$D$6:$D$203,"&gt;"&amp;(DATE($E$2,$K$2,1)-WEEKDAY(DATE($E$2,$K$2,1),2)+1+10),RESERVAS!$I$6:$I$203,"&lt;&gt;Cancelada",RESERVAS!$I$6:$I$203,"&lt;&gt;Consulta")=0,"",CHAR(10)&amp;IFERROR(LOOKUP(2,1/((RESERVAS!$C$6:$C$203&lt;=(DATE($E$2,$K$2,1)-WEEKDAY(DATE($E$2,$K$2,1),2)+1+10))*(RESERVAS!$D$6:$D$203&gt;(DATE($E$2,$K$2,1)-WEEKDAY(DATE($E$2,$K$2,1),2)+1+10))*(RESERVAS!$I$6:$I$203&lt;&gt;"Cancelada")*(RESERVAS!$I$6:$I$203&lt;&gt;"Consulta")),RESERVAS!$B$6:$B$203),"")))</f>
        <v>10
DISPONÍVEL</v>
      </c>
      <c r="E6" s="33" t="str">
        <f>IF(MONTH((DATE($E$2,$K$2,1)-WEEKDAY(DATE($E$2,$K$2,1),2)+1+11))&lt;&gt;$K$2,"",TEXT((DATE($E$2,$K$2,1)-WEEKDAY(DATE($E$2,$K$2,1),2)+1+11),"dd")&amp;CHAR(10)&amp;IF(COUNTIFS(RESERVAS!$C$6:$C$203,"&lt;="&amp;(DATE($E$2,$K$2,1)-WEEKDAY(DATE($E$2,$K$2,1),2)+1+11),RESERVAS!$D$6:$D$203,"&gt;"&amp;(DATE($E$2,$K$2,1)-WEEKDAY(DATE($E$2,$K$2,1),2)+1+11),RESERVAS!$I$6:$I$203,"&lt;&gt;Cancelada",RESERVAS!$I$6:$I$203,"&lt;&gt;Consulta")=0,"DISPONÍVEL",IF(COUNTIFS(RESERVAS!$C$6:$C$203,"&lt;="&amp;(DATE($E$2,$K$2,1)-WEEKDAY(DATE($E$2,$K$2,1),2)+1+11),RESERVAS!$D$6:$D$203,"&gt;"&amp;(DATE($E$2,$K$2,1)-WEEKDAY(DATE($E$2,$K$2,1),2)+1+11),RESERVAS!$I$6:$I$203,"&lt;&gt;Cancelada",RESERVAS!$I$6:$I$203,"&lt;&gt;Consulta")=1,"ALUGADA","CONFLITO"))&amp;IF(COUNTIFS(RESERVAS!$C$6:$C$203,"&lt;="&amp;(DATE($E$2,$K$2,1)-WEEKDAY(DATE($E$2,$K$2,1),2)+1+11),RESERVAS!$D$6:$D$203,"&gt;"&amp;(DATE($E$2,$K$2,1)-WEEKDAY(DATE($E$2,$K$2,1),2)+1+11),RESERVAS!$I$6:$I$203,"&lt;&gt;Cancelada",RESERVAS!$I$6:$I$203,"&lt;&gt;Consulta")=0,"",CHAR(10)&amp;IFERROR(LOOKUP(2,1/((RESERVAS!$C$6:$C$203&lt;=(DATE($E$2,$K$2,1)-WEEKDAY(DATE($E$2,$K$2,1),2)+1+11))*(RESERVAS!$D$6:$D$203&gt;(DATE($E$2,$K$2,1)-WEEKDAY(DATE($E$2,$K$2,1),2)+1+11))*(RESERVAS!$I$6:$I$203&lt;&gt;"Cancelada")*(RESERVAS!$I$6:$I$203&lt;&gt;"Consulta")),RESERVAS!$B$6:$B$203),"")))</f>
        <v>11
ALUGADA
Louis Renan - Férias</v>
      </c>
      <c r="F6" s="33" t="str">
        <f>IF(MONTH((DATE($E$2,$K$2,1)-WEEKDAY(DATE($E$2,$K$2,1),2)+1+12))&lt;&gt;$K$2,"",TEXT((DATE($E$2,$K$2,1)-WEEKDAY(DATE($E$2,$K$2,1),2)+1+12),"dd")&amp;CHAR(10)&amp;IF(COUNTIFS(RESERVAS!$C$6:$C$203,"&lt;="&amp;(DATE($E$2,$K$2,1)-WEEKDAY(DATE($E$2,$K$2,1),2)+1+12),RESERVAS!$D$6:$D$203,"&gt;"&amp;(DATE($E$2,$K$2,1)-WEEKDAY(DATE($E$2,$K$2,1),2)+1+12),RESERVAS!$I$6:$I$203,"&lt;&gt;Cancelada",RESERVAS!$I$6:$I$203,"&lt;&gt;Consulta")=0,"DISPONÍVEL",IF(COUNTIFS(RESERVAS!$C$6:$C$203,"&lt;="&amp;(DATE($E$2,$K$2,1)-WEEKDAY(DATE($E$2,$K$2,1),2)+1+12),RESERVAS!$D$6:$D$203,"&gt;"&amp;(DATE($E$2,$K$2,1)-WEEKDAY(DATE($E$2,$K$2,1),2)+1+12),RESERVAS!$I$6:$I$203,"&lt;&gt;Cancelada",RESERVAS!$I$6:$I$203,"&lt;&gt;Consulta")=1,"ALUGADA","CONFLITO"))&amp;IF(COUNTIFS(RESERVAS!$C$6:$C$203,"&lt;="&amp;(DATE($E$2,$K$2,1)-WEEKDAY(DATE($E$2,$K$2,1),2)+1+12),RESERVAS!$D$6:$D$203,"&gt;"&amp;(DATE($E$2,$K$2,1)-WEEKDAY(DATE($E$2,$K$2,1),2)+1+12),RESERVAS!$I$6:$I$203,"&lt;&gt;Cancelada",RESERVAS!$I$6:$I$203,"&lt;&gt;Consulta")=0,"",CHAR(10)&amp;IFERROR(LOOKUP(2,1/((RESERVAS!$C$6:$C$203&lt;=(DATE($E$2,$K$2,1)-WEEKDAY(DATE($E$2,$K$2,1),2)+1+12))*(RESERVAS!$D$6:$D$203&gt;(DATE($E$2,$K$2,1)-WEEKDAY(DATE($E$2,$K$2,1),2)+1+12))*(RESERVAS!$I$6:$I$203&lt;&gt;"Cancelada")*(RESERVAS!$I$6:$I$203&lt;&gt;"Consulta")),RESERVAS!$B$6:$B$203),"")))</f>
        <v>12
ALUGADA
Louis Renan - Férias</v>
      </c>
      <c r="G6" s="34" t="str">
        <f>IF(MONTH((DATE($E$2,$K$2,1)-WEEKDAY(DATE($E$2,$K$2,1),2)+1+13))&lt;&gt;$K$2,"",TEXT((DATE($E$2,$K$2,1)-WEEKDAY(DATE($E$2,$K$2,1),2)+1+13),"dd")&amp;CHAR(10)&amp;IF(COUNTIFS(RESERVAS!$C$6:$C$203,"&lt;="&amp;(DATE($E$2,$K$2,1)-WEEKDAY(DATE($E$2,$K$2,1),2)+1+13),RESERVAS!$D$6:$D$203,"&gt;"&amp;(DATE($E$2,$K$2,1)-WEEKDAY(DATE($E$2,$K$2,1),2)+1+13),RESERVAS!$I$6:$I$203,"&lt;&gt;Cancelada",RESERVAS!$I$6:$I$203,"&lt;&gt;Consulta")=0,"DISPONÍVEL",IF(COUNTIFS(RESERVAS!$C$6:$C$203,"&lt;="&amp;(DATE($E$2,$K$2,1)-WEEKDAY(DATE($E$2,$K$2,1),2)+1+13),RESERVAS!$D$6:$D$203,"&gt;"&amp;(DATE($E$2,$K$2,1)-WEEKDAY(DATE($E$2,$K$2,1),2)+1+13),RESERVAS!$I$6:$I$203,"&lt;&gt;Cancelada",RESERVAS!$I$6:$I$203,"&lt;&gt;Consulta")=1,"ALUGADA","CONFLITO"))&amp;IF(COUNTIFS(RESERVAS!$C$6:$C$203,"&lt;="&amp;(DATE($E$2,$K$2,1)-WEEKDAY(DATE($E$2,$K$2,1),2)+1+13),RESERVAS!$D$6:$D$203,"&gt;"&amp;(DATE($E$2,$K$2,1)-WEEKDAY(DATE($E$2,$K$2,1),2)+1+13),RESERVAS!$I$6:$I$203,"&lt;&gt;Cancelada",RESERVAS!$I$6:$I$203,"&lt;&gt;Consulta")=0,"",CHAR(10)&amp;IFERROR(LOOKUP(2,1/((RESERVAS!$C$6:$C$203&lt;=(DATE($E$2,$K$2,1)-WEEKDAY(DATE($E$2,$K$2,1),2)+1+13))*(RESERVAS!$D$6:$D$203&gt;(DATE($E$2,$K$2,1)-WEEKDAY(DATE($E$2,$K$2,1),2)+1+13))*(RESERVAS!$I$6:$I$203&lt;&gt;"Cancelada")*(RESERVAS!$I$6:$I$203&lt;&gt;"Consulta")),RESERVAS!$B$6:$B$203),"")))</f>
        <v>13
ALUGADA
Louis Renan - Férias</v>
      </c>
      <c r="I6" s="35" t="s">
        <v>4</v>
      </c>
      <c r="J6" s="36">
        <f>SUMPRODUCT((RESERVAS!$C$6:$C$203&lt;DATE($E$2,$K$2+1,1))*(RESERVAS!$D$6:$D$203&gt;DATE($E$2,$K$2,1))*(RESERVAS!$I$6:$I$203&lt;&gt;"Cancelada")*(RESERVAS!$I$6:$I$203&lt;&gt;"Consulta")*RESERVAS!$T$6:$T$203*(((RESERVAS!$D$6:$D$203&lt;DATE($E$2,$K$2+1,1))*RESERVAS!$D$6:$D$203+(RESERVAS!$D$6:$D$203&gt;=DATE($E$2,$K$2+1,1))*DATE($E$2,$K$2+1,1))-((RESERVAS!$C$6:$C$203&gt;DATE($E$2,$K$2,1))*RESERVAS!$C$6:$C$203+(RESERVAS!$C$6:$C$203&lt;=DATE($E$2,$K$2,1))*DATE($E$2,$K$2,1))))</f>
        <v>32.050000000000182</v>
      </c>
    </row>
    <row r="7" spans="1:12" ht="60.75" customHeight="1">
      <c r="A7" s="32" t="str">
        <f>IF(MONTH((DATE($E$2,$K$2,1)-WEEKDAY(DATE($E$2,$K$2,1),2)+1+14))&lt;&gt;$K$2,"",TEXT((DATE($E$2,$K$2,1)-WEEKDAY(DATE($E$2,$K$2,1),2)+1+14),"dd")&amp;CHAR(10)&amp;IF(COUNTIFS(RESERVAS!$C$6:$C$203,"&lt;="&amp;(DATE($E$2,$K$2,1)-WEEKDAY(DATE($E$2,$K$2,1),2)+1+14),RESERVAS!$D$6:$D$203,"&gt;"&amp;(DATE($E$2,$K$2,1)-WEEKDAY(DATE($E$2,$K$2,1),2)+1+14),RESERVAS!$I$6:$I$203,"&lt;&gt;Cancelada",RESERVAS!$I$6:$I$203,"&lt;&gt;Consulta")=0,"DISPONÍVEL",IF(COUNTIFS(RESERVAS!$C$6:$C$203,"&lt;="&amp;(DATE($E$2,$K$2,1)-WEEKDAY(DATE($E$2,$K$2,1),2)+1+14),RESERVAS!$D$6:$D$203,"&gt;"&amp;(DATE($E$2,$K$2,1)-WEEKDAY(DATE($E$2,$K$2,1),2)+1+14),RESERVAS!$I$6:$I$203,"&lt;&gt;Cancelada",RESERVAS!$I$6:$I$203,"&lt;&gt;Consulta")=1,"ALUGADA","CONFLITO"))&amp;IF(COUNTIFS(RESERVAS!$C$6:$C$203,"&lt;="&amp;(DATE($E$2,$K$2,1)-WEEKDAY(DATE($E$2,$K$2,1),2)+1+14),RESERVAS!$D$6:$D$203,"&gt;"&amp;(DATE($E$2,$K$2,1)-WEEKDAY(DATE($E$2,$K$2,1),2)+1+14),RESERVAS!$I$6:$I$203,"&lt;&gt;Cancelada",RESERVAS!$I$6:$I$203,"&lt;&gt;Consulta")=0,"",CHAR(10)&amp;IFERROR(LOOKUP(2,1/((RESERVAS!$C$6:$C$203&lt;=(DATE($E$2,$K$2,1)-WEEKDAY(DATE($E$2,$K$2,1),2)+1+14))*(RESERVAS!$D$6:$D$203&gt;(DATE($E$2,$K$2,1)-WEEKDAY(DATE($E$2,$K$2,1),2)+1+14))*(RESERVAS!$I$6:$I$203&lt;&gt;"Cancelada")*(RESERVAS!$I$6:$I$203&lt;&gt;"Consulta")),RESERVAS!$B$6:$B$203),"")))</f>
        <v>14
ALUGADA
Louis Renan - Férias</v>
      </c>
      <c r="B7" s="33" t="str">
        <f>IF(MONTH((DATE($E$2,$K$2,1)-WEEKDAY(DATE($E$2,$K$2,1),2)+1+15))&lt;&gt;$K$2,"",TEXT((DATE($E$2,$K$2,1)-WEEKDAY(DATE($E$2,$K$2,1),2)+1+15),"dd")&amp;CHAR(10)&amp;IF(COUNTIFS(RESERVAS!$C$6:$C$203,"&lt;="&amp;(DATE($E$2,$K$2,1)-WEEKDAY(DATE($E$2,$K$2,1),2)+1+15),RESERVAS!$D$6:$D$203,"&gt;"&amp;(DATE($E$2,$K$2,1)-WEEKDAY(DATE($E$2,$K$2,1),2)+1+15),RESERVAS!$I$6:$I$203,"&lt;&gt;Cancelada",RESERVAS!$I$6:$I$203,"&lt;&gt;Consulta")=0,"DISPONÍVEL",IF(COUNTIFS(RESERVAS!$C$6:$C$203,"&lt;="&amp;(DATE($E$2,$K$2,1)-WEEKDAY(DATE($E$2,$K$2,1),2)+1+15),RESERVAS!$D$6:$D$203,"&gt;"&amp;(DATE($E$2,$K$2,1)-WEEKDAY(DATE($E$2,$K$2,1),2)+1+15),RESERVAS!$I$6:$I$203,"&lt;&gt;Cancelada",RESERVAS!$I$6:$I$203,"&lt;&gt;Consulta")=1,"ALUGADA","CONFLITO"))&amp;IF(COUNTIFS(RESERVAS!$C$6:$C$203,"&lt;="&amp;(DATE($E$2,$K$2,1)-WEEKDAY(DATE($E$2,$K$2,1),2)+1+15),RESERVAS!$D$6:$D$203,"&gt;"&amp;(DATE($E$2,$K$2,1)-WEEKDAY(DATE($E$2,$K$2,1),2)+1+15),RESERVAS!$I$6:$I$203,"&lt;&gt;Cancelada",RESERVAS!$I$6:$I$203,"&lt;&gt;Consulta")=0,"",CHAR(10)&amp;IFERROR(LOOKUP(2,1/((RESERVAS!$C$6:$C$203&lt;=(DATE($E$2,$K$2,1)-WEEKDAY(DATE($E$2,$K$2,1),2)+1+15))*(RESERVAS!$D$6:$D$203&gt;(DATE($E$2,$K$2,1)-WEEKDAY(DATE($E$2,$K$2,1),2)+1+15))*(RESERVAS!$I$6:$I$203&lt;&gt;"Cancelada")*(RESERVAS!$I$6:$I$203&lt;&gt;"Consulta")),RESERVAS!$B$6:$B$203),"")))</f>
        <v>15
DISPONÍVEL</v>
      </c>
      <c r="C7" s="33" t="str">
        <f>IF(MONTH((DATE($E$2,$K$2,1)-WEEKDAY(DATE($E$2,$K$2,1),2)+1+16))&lt;&gt;$K$2,"",TEXT((DATE($E$2,$K$2,1)-WEEKDAY(DATE($E$2,$K$2,1),2)+1+16),"dd")&amp;CHAR(10)&amp;IF(COUNTIFS(RESERVAS!$C$6:$C$203,"&lt;="&amp;(DATE($E$2,$K$2,1)-WEEKDAY(DATE($E$2,$K$2,1),2)+1+16),RESERVAS!$D$6:$D$203,"&gt;"&amp;(DATE($E$2,$K$2,1)-WEEKDAY(DATE($E$2,$K$2,1),2)+1+16),RESERVAS!$I$6:$I$203,"&lt;&gt;Cancelada",RESERVAS!$I$6:$I$203,"&lt;&gt;Consulta")=0,"DISPONÍVEL",IF(COUNTIFS(RESERVAS!$C$6:$C$203,"&lt;="&amp;(DATE($E$2,$K$2,1)-WEEKDAY(DATE($E$2,$K$2,1),2)+1+16),RESERVAS!$D$6:$D$203,"&gt;"&amp;(DATE($E$2,$K$2,1)-WEEKDAY(DATE($E$2,$K$2,1),2)+1+16),RESERVAS!$I$6:$I$203,"&lt;&gt;Cancelada",RESERVAS!$I$6:$I$203,"&lt;&gt;Consulta")=1,"ALUGADA","CONFLITO"))&amp;IF(COUNTIFS(RESERVAS!$C$6:$C$203,"&lt;="&amp;(DATE($E$2,$K$2,1)-WEEKDAY(DATE($E$2,$K$2,1),2)+1+16),RESERVAS!$D$6:$D$203,"&gt;"&amp;(DATE($E$2,$K$2,1)-WEEKDAY(DATE($E$2,$K$2,1),2)+1+16),RESERVAS!$I$6:$I$203,"&lt;&gt;Cancelada",RESERVAS!$I$6:$I$203,"&lt;&gt;Consulta")=0,"",CHAR(10)&amp;IFERROR(LOOKUP(2,1/((RESERVAS!$C$6:$C$203&lt;=(DATE($E$2,$K$2,1)-WEEKDAY(DATE($E$2,$K$2,1),2)+1+16))*(RESERVAS!$D$6:$D$203&gt;(DATE($E$2,$K$2,1)-WEEKDAY(DATE($E$2,$K$2,1),2)+1+16))*(RESERVAS!$I$6:$I$203&lt;&gt;"Cancelada")*(RESERVAS!$I$6:$I$203&lt;&gt;"Consulta")),RESERVAS!$B$6:$B$203),"")))</f>
        <v>16
DISPONÍVEL</v>
      </c>
      <c r="D7" s="33" t="str">
        <f>IF(MONTH((DATE($E$2,$K$2,1)-WEEKDAY(DATE($E$2,$K$2,1),2)+1+17))&lt;&gt;$K$2,"",TEXT((DATE($E$2,$K$2,1)-WEEKDAY(DATE($E$2,$K$2,1),2)+1+17),"dd")&amp;CHAR(10)&amp;IF(COUNTIFS(RESERVAS!$C$6:$C$203,"&lt;="&amp;(DATE($E$2,$K$2,1)-WEEKDAY(DATE($E$2,$K$2,1),2)+1+17),RESERVAS!$D$6:$D$203,"&gt;"&amp;(DATE($E$2,$K$2,1)-WEEKDAY(DATE($E$2,$K$2,1),2)+1+17),RESERVAS!$I$6:$I$203,"&lt;&gt;Cancelada",RESERVAS!$I$6:$I$203,"&lt;&gt;Consulta")=0,"DISPONÍVEL",IF(COUNTIFS(RESERVAS!$C$6:$C$203,"&lt;="&amp;(DATE($E$2,$K$2,1)-WEEKDAY(DATE($E$2,$K$2,1),2)+1+17),RESERVAS!$D$6:$D$203,"&gt;"&amp;(DATE($E$2,$K$2,1)-WEEKDAY(DATE($E$2,$K$2,1),2)+1+17),RESERVAS!$I$6:$I$203,"&lt;&gt;Cancelada",RESERVAS!$I$6:$I$203,"&lt;&gt;Consulta")=1,"ALUGADA","CONFLITO"))&amp;IF(COUNTIFS(RESERVAS!$C$6:$C$203,"&lt;="&amp;(DATE($E$2,$K$2,1)-WEEKDAY(DATE($E$2,$K$2,1),2)+1+17),RESERVAS!$D$6:$D$203,"&gt;"&amp;(DATE($E$2,$K$2,1)-WEEKDAY(DATE($E$2,$K$2,1),2)+1+17),RESERVAS!$I$6:$I$203,"&lt;&gt;Cancelada",RESERVAS!$I$6:$I$203,"&lt;&gt;Consulta")=0,"",CHAR(10)&amp;IFERROR(LOOKUP(2,1/((RESERVAS!$C$6:$C$203&lt;=(DATE($E$2,$K$2,1)-WEEKDAY(DATE($E$2,$K$2,1),2)+1+17))*(RESERVAS!$D$6:$D$203&gt;(DATE($E$2,$K$2,1)-WEEKDAY(DATE($E$2,$K$2,1),2)+1+17))*(RESERVAS!$I$6:$I$203&lt;&gt;"Cancelada")*(RESERVAS!$I$6:$I$203&lt;&gt;"Consulta")),RESERVAS!$B$6:$B$203),"")))</f>
        <v>17
DISPONÍVEL</v>
      </c>
      <c r="E7" s="33" t="str">
        <f>IF(MONTH((DATE($E$2,$K$2,1)-WEEKDAY(DATE($E$2,$K$2,1),2)+1+18))&lt;&gt;$K$2,"",TEXT((DATE($E$2,$K$2,1)-WEEKDAY(DATE($E$2,$K$2,1),2)+1+18),"dd")&amp;CHAR(10)&amp;IF(COUNTIFS(RESERVAS!$C$6:$C$203,"&lt;="&amp;(DATE($E$2,$K$2,1)-WEEKDAY(DATE($E$2,$K$2,1),2)+1+18),RESERVAS!$D$6:$D$203,"&gt;"&amp;(DATE($E$2,$K$2,1)-WEEKDAY(DATE($E$2,$K$2,1),2)+1+18),RESERVAS!$I$6:$I$203,"&lt;&gt;Cancelada",RESERVAS!$I$6:$I$203,"&lt;&gt;Consulta")=0,"DISPONÍVEL",IF(COUNTIFS(RESERVAS!$C$6:$C$203,"&lt;="&amp;(DATE($E$2,$K$2,1)-WEEKDAY(DATE($E$2,$K$2,1),2)+1+18),RESERVAS!$D$6:$D$203,"&gt;"&amp;(DATE($E$2,$K$2,1)-WEEKDAY(DATE($E$2,$K$2,1),2)+1+18),RESERVAS!$I$6:$I$203,"&lt;&gt;Cancelada",RESERVAS!$I$6:$I$203,"&lt;&gt;Consulta")=1,"ALUGADA","CONFLITO"))&amp;IF(COUNTIFS(RESERVAS!$C$6:$C$203,"&lt;="&amp;(DATE($E$2,$K$2,1)-WEEKDAY(DATE($E$2,$K$2,1),2)+1+18),RESERVAS!$D$6:$D$203,"&gt;"&amp;(DATE($E$2,$K$2,1)-WEEKDAY(DATE($E$2,$K$2,1),2)+1+18),RESERVAS!$I$6:$I$203,"&lt;&gt;Cancelada",RESERVAS!$I$6:$I$203,"&lt;&gt;Consulta")=0,"",CHAR(10)&amp;IFERROR(LOOKUP(2,1/((RESERVAS!$C$6:$C$203&lt;=(DATE($E$2,$K$2,1)-WEEKDAY(DATE($E$2,$K$2,1),2)+1+18))*(RESERVAS!$D$6:$D$203&gt;(DATE($E$2,$K$2,1)-WEEKDAY(DATE($E$2,$K$2,1),2)+1+18))*(RESERVAS!$I$6:$I$203&lt;&gt;"Cancelada")*(RESERVAS!$I$6:$I$203&lt;&gt;"Consulta")),RESERVAS!$B$6:$B$203),"")))</f>
        <v>18
DISPONÍVEL</v>
      </c>
      <c r="F7" s="33" t="str">
        <f>IF(MONTH((DATE($E$2,$K$2,1)-WEEKDAY(DATE($E$2,$K$2,1),2)+1+19))&lt;&gt;$K$2,"",TEXT((DATE($E$2,$K$2,1)-WEEKDAY(DATE($E$2,$K$2,1),2)+1+19),"dd")&amp;CHAR(10)&amp;IF(COUNTIFS(RESERVAS!$C$6:$C$203,"&lt;="&amp;(DATE($E$2,$K$2,1)-WEEKDAY(DATE($E$2,$K$2,1),2)+1+19),RESERVAS!$D$6:$D$203,"&gt;"&amp;(DATE($E$2,$K$2,1)-WEEKDAY(DATE($E$2,$K$2,1),2)+1+19),RESERVAS!$I$6:$I$203,"&lt;&gt;Cancelada",RESERVAS!$I$6:$I$203,"&lt;&gt;Consulta")=0,"DISPONÍVEL",IF(COUNTIFS(RESERVAS!$C$6:$C$203,"&lt;="&amp;(DATE($E$2,$K$2,1)-WEEKDAY(DATE($E$2,$K$2,1),2)+1+19),RESERVAS!$D$6:$D$203,"&gt;"&amp;(DATE($E$2,$K$2,1)-WEEKDAY(DATE($E$2,$K$2,1),2)+1+19),RESERVAS!$I$6:$I$203,"&lt;&gt;Cancelada",RESERVAS!$I$6:$I$203,"&lt;&gt;Consulta")=1,"ALUGADA","CONFLITO"))&amp;IF(COUNTIFS(RESERVAS!$C$6:$C$203,"&lt;="&amp;(DATE($E$2,$K$2,1)-WEEKDAY(DATE($E$2,$K$2,1),2)+1+19),RESERVAS!$D$6:$D$203,"&gt;"&amp;(DATE($E$2,$K$2,1)-WEEKDAY(DATE($E$2,$K$2,1),2)+1+19),RESERVAS!$I$6:$I$203,"&lt;&gt;Cancelada",RESERVAS!$I$6:$I$203,"&lt;&gt;Consulta")=0,"",CHAR(10)&amp;IFERROR(LOOKUP(2,1/((RESERVAS!$C$6:$C$203&lt;=(DATE($E$2,$K$2,1)-WEEKDAY(DATE($E$2,$K$2,1),2)+1+19))*(RESERVAS!$D$6:$D$203&gt;(DATE($E$2,$K$2,1)-WEEKDAY(DATE($E$2,$K$2,1),2)+1+19))*(RESERVAS!$I$6:$I$203&lt;&gt;"Cancelada")*(RESERVAS!$I$6:$I$203&lt;&gt;"Consulta")),RESERVAS!$B$6:$B$203),"")))</f>
        <v>19
DISPONÍVEL</v>
      </c>
      <c r="G7" s="34" t="str">
        <f>IF(MONTH((DATE($E$2,$K$2,1)-WEEKDAY(DATE($E$2,$K$2,1),2)+1+20))&lt;&gt;$K$2,"",TEXT((DATE($E$2,$K$2,1)-WEEKDAY(DATE($E$2,$K$2,1),2)+1+20),"dd")&amp;CHAR(10)&amp;IF(COUNTIFS(RESERVAS!$C$6:$C$203,"&lt;="&amp;(DATE($E$2,$K$2,1)-WEEKDAY(DATE($E$2,$K$2,1),2)+1+20),RESERVAS!$D$6:$D$203,"&gt;"&amp;(DATE($E$2,$K$2,1)-WEEKDAY(DATE($E$2,$K$2,1),2)+1+20),RESERVAS!$I$6:$I$203,"&lt;&gt;Cancelada",RESERVAS!$I$6:$I$203,"&lt;&gt;Consulta")=0,"DISPONÍVEL",IF(COUNTIFS(RESERVAS!$C$6:$C$203,"&lt;="&amp;(DATE($E$2,$K$2,1)-WEEKDAY(DATE($E$2,$K$2,1),2)+1+20),RESERVAS!$D$6:$D$203,"&gt;"&amp;(DATE($E$2,$K$2,1)-WEEKDAY(DATE($E$2,$K$2,1),2)+1+20),RESERVAS!$I$6:$I$203,"&lt;&gt;Cancelada",RESERVAS!$I$6:$I$203,"&lt;&gt;Consulta")=1,"ALUGADA","CONFLITO"))&amp;IF(COUNTIFS(RESERVAS!$C$6:$C$203,"&lt;="&amp;(DATE($E$2,$K$2,1)-WEEKDAY(DATE($E$2,$K$2,1),2)+1+20),RESERVAS!$D$6:$D$203,"&gt;"&amp;(DATE($E$2,$K$2,1)-WEEKDAY(DATE($E$2,$K$2,1),2)+1+20),RESERVAS!$I$6:$I$203,"&lt;&gt;Cancelada",RESERVAS!$I$6:$I$203,"&lt;&gt;Consulta")=0,"",CHAR(10)&amp;IFERROR(LOOKUP(2,1/((RESERVAS!$C$6:$C$203&lt;=(DATE($E$2,$K$2,1)-WEEKDAY(DATE($E$2,$K$2,1),2)+1+20))*(RESERVAS!$D$6:$D$203&gt;(DATE($E$2,$K$2,1)-WEEKDAY(DATE($E$2,$K$2,1),2)+1+20))*(RESERVAS!$I$6:$I$203&lt;&gt;"Cancelada")*(RESERVAS!$I$6:$I$203&lt;&gt;"Consulta")),RESERVAS!$B$6:$B$203),"")))</f>
        <v>20
DISPONÍVEL</v>
      </c>
      <c r="I7" s="35" t="s">
        <v>5</v>
      </c>
      <c r="J7" s="36">
        <f>SUMIFS('DESPESAS CASA'!$D$6:$D$305,'DESPESAS CASA'!$A$6:$A$305,"&gt;="&amp;DATE($E$2,$K$2,1),'DESPESAS CASA'!$A$6:$A$305,"&lt;"&amp;DATE($E$2,$K$2+1,1),'DESPESAS CASA'!$E$6:$E$305,"")</f>
        <v>0</v>
      </c>
    </row>
    <row r="8" spans="1:12" ht="60.75" customHeight="1">
      <c r="A8" s="32" t="str">
        <f>IF(MONTH((DATE($E$2,$K$2,1)-WEEKDAY(DATE($E$2,$K$2,1),2)+1+21))&lt;&gt;$K$2,"",TEXT((DATE($E$2,$K$2,1)-WEEKDAY(DATE($E$2,$K$2,1),2)+1+21),"dd")&amp;CHAR(10)&amp;IF(COUNTIFS(RESERVAS!$C$6:$C$203,"&lt;="&amp;(DATE($E$2,$K$2,1)-WEEKDAY(DATE($E$2,$K$2,1),2)+1+21),RESERVAS!$D$6:$D$203,"&gt;"&amp;(DATE($E$2,$K$2,1)-WEEKDAY(DATE($E$2,$K$2,1),2)+1+21),RESERVAS!$I$6:$I$203,"&lt;&gt;Cancelada",RESERVAS!$I$6:$I$203,"&lt;&gt;Consulta")=0,"DISPONÍVEL",IF(COUNTIFS(RESERVAS!$C$6:$C$203,"&lt;="&amp;(DATE($E$2,$K$2,1)-WEEKDAY(DATE($E$2,$K$2,1),2)+1+21),RESERVAS!$D$6:$D$203,"&gt;"&amp;(DATE($E$2,$K$2,1)-WEEKDAY(DATE($E$2,$K$2,1),2)+1+21),RESERVAS!$I$6:$I$203,"&lt;&gt;Cancelada",RESERVAS!$I$6:$I$203,"&lt;&gt;Consulta")=1,"ALUGADA","CONFLITO"))&amp;IF(COUNTIFS(RESERVAS!$C$6:$C$203,"&lt;="&amp;(DATE($E$2,$K$2,1)-WEEKDAY(DATE($E$2,$K$2,1),2)+1+21),RESERVAS!$D$6:$D$203,"&gt;"&amp;(DATE($E$2,$K$2,1)-WEEKDAY(DATE($E$2,$K$2,1),2)+1+21),RESERVAS!$I$6:$I$203,"&lt;&gt;Cancelada",RESERVAS!$I$6:$I$203,"&lt;&gt;Consulta")=0,"",CHAR(10)&amp;IFERROR(LOOKUP(2,1/((RESERVAS!$C$6:$C$203&lt;=(DATE($E$2,$K$2,1)-WEEKDAY(DATE($E$2,$K$2,1),2)+1+21))*(RESERVAS!$D$6:$D$203&gt;(DATE($E$2,$K$2,1)-WEEKDAY(DATE($E$2,$K$2,1),2)+1+21))*(RESERVAS!$I$6:$I$203&lt;&gt;"Cancelada")*(RESERVAS!$I$6:$I$203&lt;&gt;"Consulta")),RESERVAS!$B$6:$B$203),"")))</f>
        <v>21
DISPONÍVEL</v>
      </c>
      <c r="B8" s="33" t="str">
        <f>IF(MONTH((DATE($E$2,$K$2,1)-WEEKDAY(DATE($E$2,$K$2,1),2)+1+22))&lt;&gt;$K$2,"",TEXT((DATE($E$2,$K$2,1)-WEEKDAY(DATE($E$2,$K$2,1),2)+1+22),"dd")&amp;CHAR(10)&amp;IF(COUNTIFS(RESERVAS!$C$6:$C$203,"&lt;="&amp;(DATE($E$2,$K$2,1)-WEEKDAY(DATE($E$2,$K$2,1),2)+1+22),RESERVAS!$D$6:$D$203,"&gt;"&amp;(DATE($E$2,$K$2,1)-WEEKDAY(DATE($E$2,$K$2,1),2)+1+22),RESERVAS!$I$6:$I$203,"&lt;&gt;Cancelada",RESERVAS!$I$6:$I$203,"&lt;&gt;Consulta")=0,"DISPONÍVEL",IF(COUNTIFS(RESERVAS!$C$6:$C$203,"&lt;="&amp;(DATE($E$2,$K$2,1)-WEEKDAY(DATE($E$2,$K$2,1),2)+1+22),RESERVAS!$D$6:$D$203,"&gt;"&amp;(DATE($E$2,$K$2,1)-WEEKDAY(DATE($E$2,$K$2,1),2)+1+22),RESERVAS!$I$6:$I$203,"&lt;&gt;Cancelada",RESERVAS!$I$6:$I$203,"&lt;&gt;Consulta")=1,"ALUGADA","CONFLITO"))&amp;IF(COUNTIFS(RESERVAS!$C$6:$C$203,"&lt;="&amp;(DATE($E$2,$K$2,1)-WEEKDAY(DATE($E$2,$K$2,1),2)+1+22),RESERVAS!$D$6:$D$203,"&gt;"&amp;(DATE($E$2,$K$2,1)-WEEKDAY(DATE($E$2,$K$2,1),2)+1+22),RESERVAS!$I$6:$I$203,"&lt;&gt;Cancelada",RESERVAS!$I$6:$I$203,"&lt;&gt;Consulta")=0,"",CHAR(10)&amp;IFERROR(LOOKUP(2,1/((RESERVAS!$C$6:$C$203&lt;=(DATE($E$2,$K$2,1)-WEEKDAY(DATE($E$2,$K$2,1),2)+1+22))*(RESERVAS!$D$6:$D$203&gt;(DATE($E$2,$K$2,1)-WEEKDAY(DATE($E$2,$K$2,1),2)+1+22))*(RESERVAS!$I$6:$I$203&lt;&gt;"Cancelada")*(RESERVAS!$I$6:$I$203&lt;&gt;"Consulta")),RESERVAS!$B$6:$B$203),"")))</f>
        <v>22
DISPONÍVEL</v>
      </c>
      <c r="C8" s="33" t="str">
        <f>IF(MONTH((DATE($E$2,$K$2,1)-WEEKDAY(DATE($E$2,$K$2,1),2)+1+23))&lt;&gt;$K$2,"",TEXT((DATE($E$2,$K$2,1)-WEEKDAY(DATE($E$2,$K$2,1),2)+1+23),"dd")&amp;CHAR(10)&amp;IF(COUNTIFS(RESERVAS!$C$6:$C$203,"&lt;="&amp;(DATE($E$2,$K$2,1)-WEEKDAY(DATE($E$2,$K$2,1),2)+1+23),RESERVAS!$D$6:$D$203,"&gt;"&amp;(DATE($E$2,$K$2,1)-WEEKDAY(DATE($E$2,$K$2,1),2)+1+23),RESERVAS!$I$6:$I$203,"&lt;&gt;Cancelada",RESERVAS!$I$6:$I$203,"&lt;&gt;Consulta")=0,"DISPONÍVEL",IF(COUNTIFS(RESERVAS!$C$6:$C$203,"&lt;="&amp;(DATE($E$2,$K$2,1)-WEEKDAY(DATE($E$2,$K$2,1),2)+1+23),RESERVAS!$D$6:$D$203,"&gt;"&amp;(DATE($E$2,$K$2,1)-WEEKDAY(DATE($E$2,$K$2,1),2)+1+23),RESERVAS!$I$6:$I$203,"&lt;&gt;Cancelada",RESERVAS!$I$6:$I$203,"&lt;&gt;Consulta")=1,"ALUGADA","CONFLITO"))&amp;IF(COUNTIFS(RESERVAS!$C$6:$C$203,"&lt;="&amp;(DATE($E$2,$K$2,1)-WEEKDAY(DATE($E$2,$K$2,1),2)+1+23),RESERVAS!$D$6:$D$203,"&gt;"&amp;(DATE($E$2,$K$2,1)-WEEKDAY(DATE($E$2,$K$2,1),2)+1+23),RESERVAS!$I$6:$I$203,"&lt;&gt;Cancelada",RESERVAS!$I$6:$I$203,"&lt;&gt;Consulta")=0,"",CHAR(10)&amp;IFERROR(LOOKUP(2,1/((RESERVAS!$C$6:$C$203&lt;=(DATE($E$2,$K$2,1)-WEEKDAY(DATE($E$2,$K$2,1),2)+1+23))*(RESERVAS!$D$6:$D$203&gt;(DATE($E$2,$K$2,1)-WEEKDAY(DATE($E$2,$K$2,1),2)+1+23))*(RESERVAS!$I$6:$I$203&lt;&gt;"Cancelada")*(RESERVAS!$I$6:$I$203&lt;&gt;"Consulta")),RESERVAS!$B$6:$B$203),"")))</f>
        <v>23
DISPONÍVEL</v>
      </c>
      <c r="D8" s="33" t="str">
        <f>IF(MONTH((DATE($E$2,$K$2,1)-WEEKDAY(DATE($E$2,$K$2,1),2)+1+24))&lt;&gt;$K$2,"",TEXT((DATE($E$2,$K$2,1)-WEEKDAY(DATE($E$2,$K$2,1),2)+1+24),"dd")&amp;CHAR(10)&amp;IF(COUNTIFS(RESERVAS!$C$6:$C$203,"&lt;="&amp;(DATE($E$2,$K$2,1)-WEEKDAY(DATE($E$2,$K$2,1),2)+1+24),RESERVAS!$D$6:$D$203,"&gt;"&amp;(DATE($E$2,$K$2,1)-WEEKDAY(DATE($E$2,$K$2,1),2)+1+24),RESERVAS!$I$6:$I$203,"&lt;&gt;Cancelada",RESERVAS!$I$6:$I$203,"&lt;&gt;Consulta")=0,"DISPONÍVEL",IF(COUNTIFS(RESERVAS!$C$6:$C$203,"&lt;="&amp;(DATE($E$2,$K$2,1)-WEEKDAY(DATE($E$2,$K$2,1),2)+1+24),RESERVAS!$D$6:$D$203,"&gt;"&amp;(DATE($E$2,$K$2,1)-WEEKDAY(DATE($E$2,$K$2,1),2)+1+24),RESERVAS!$I$6:$I$203,"&lt;&gt;Cancelada",RESERVAS!$I$6:$I$203,"&lt;&gt;Consulta")=1,"ALUGADA","CONFLITO"))&amp;IF(COUNTIFS(RESERVAS!$C$6:$C$203,"&lt;="&amp;(DATE($E$2,$K$2,1)-WEEKDAY(DATE($E$2,$K$2,1),2)+1+24),RESERVAS!$D$6:$D$203,"&gt;"&amp;(DATE($E$2,$K$2,1)-WEEKDAY(DATE($E$2,$K$2,1),2)+1+24),RESERVAS!$I$6:$I$203,"&lt;&gt;Cancelada",RESERVAS!$I$6:$I$203,"&lt;&gt;Consulta")=0,"",CHAR(10)&amp;IFERROR(LOOKUP(2,1/((RESERVAS!$C$6:$C$203&lt;=(DATE($E$2,$K$2,1)-WEEKDAY(DATE($E$2,$K$2,1),2)+1+24))*(RESERVAS!$D$6:$D$203&gt;(DATE($E$2,$K$2,1)-WEEKDAY(DATE($E$2,$K$2,1),2)+1+24))*(RESERVAS!$I$6:$I$203&lt;&gt;"Cancelada")*(RESERVAS!$I$6:$I$203&lt;&gt;"Consulta")),RESERVAS!$B$6:$B$203),"")))</f>
        <v>24
DISPONÍVEL</v>
      </c>
      <c r="E8" s="33" t="str">
        <f>IF(MONTH((DATE($E$2,$K$2,1)-WEEKDAY(DATE($E$2,$K$2,1),2)+1+25))&lt;&gt;$K$2,"",TEXT((DATE($E$2,$K$2,1)-WEEKDAY(DATE($E$2,$K$2,1),2)+1+25),"dd")&amp;CHAR(10)&amp;IF(COUNTIFS(RESERVAS!$C$6:$C$203,"&lt;="&amp;(DATE($E$2,$K$2,1)-WEEKDAY(DATE($E$2,$K$2,1),2)+1+25),RESERVAS!$D$6:$D$203,"&gt;"&amp;(DATE($E$2,$K$2,1)-WEEKDAY(DATE($E$2,$K$2,1),2)+1+25),RESERVAS!$I$6:$I$203,"&lt;&gt;Cancelada",RESERVAS!$I$6:$I$203,"&lt;&gt;Consulta")=0,"DISPONÍVEL",IF(COUNTIFS(RESERVAS!$C$6:$C$203,"&lt;="&amp;(DATE($E$2,$K$2,1)-WEEKDAY(DATE($E$2,$K$2,1),2)+1+25),RESERVAS!$D$6:$D$203,"&gt;"&amp;(DATE($E$2,$K$2,1)-WEEKDAY(DATE($E$2,$K$2,1),2)+1+25),RESERVAS!$I$6:$I$203,"&lt;&gt;Cancelada",RESERVAS!$I$6:$I$203,"&lt;&gt;Consulta")=1,"ALUGADA","CONFLITO"))&amp;IF(COUNTIFS(RESERVAS!$C$6:$C$203,"&lt;="&amp;(DATE($E$2,$K$2,1)-WEEKDAY(DATE($E$2,$K$2,1),2)+1+25),RESERVAS!$D$6:$D$203,"&gt;"&amp;(DATE($E$2,$K$2,1)-WEEKDAY(DATE($E$2,$K$2,1),2)+1+25),RESERVAS!$I$6:$I$203,"&lt;&gt;Cancelada",RESERVAS!$I$6:$I$203,"&lt;&gt;Consulta")=0,"",CHAR(10)&amp;IFERROR(LOOKUP(2,1/((RESERVAS!$C$6:$C$203&lt;=(DATE($E$2,$K$2,1)-WEEKDAY(DATE($E$2,$K$2,1),2)+1+25))*(RESERVAS!$D$6:$D$203&gt;(DATE($E$2,$K$2,1)-WEEKDAY(DATE($E$2,$K$2,1),2)+1+25))*(RESERVAS!$I$6:$I$203&lt;&gt;"Cancelada")*(RESERVAS!$I$6:$I$203&lt;&gt;"Consulta")),RESERVAS!$B$6:$B$203),"")))</f>
        <v>25
DISPONÍVEL</v>
      </c>
      <c r="F8" s="33" t="str">
        <f>IF(MONTH((DATE($E$2,$K$2,1)-WEEKDAY(DATE($E$2,$K$2,1),2)+1+26))&lt;&gt;$K$2,"",TEXT((DATE($E$2,$K$2,1)-WEEKDAY(DATE($E$2,$K$2,1),2)+1+26),"dd")&amp;CHAR(10)&amp;IF(COUNTIFS(RESERVAS!$C$6:$C$203,"&lt;="&amp;(DATE($E$2,$K$2,1)-WEEKDAY(DATE($E$2,$K$2,1),2)+1+26),RESERVAS!$D$6:$D$203,"&gt;"&amp;(DATE($E$2,$K$2,1)-WEEKDAY(DATE($E$2,$K$2,1),2)+1+26),RESERVAS!$I$6:$I$203,"&lt;&gt;Cancelada",RESERVAS!$I$6:$I$203,"&lt;&gt;Consulta")=0,"DISPONÍVEL",IF(COUNTIFS(RESERVAS!$C$6:$C$203,"&lt;="&amp;(DATE($E$2,$K$2,1)-WEEKDAY(DATE($E$2,$K$2,1),2)+1+26),RESERVAS!$D$6:$D$203,"&gt;"&amp;(DATE($E$2,$K$2,1)-WEEKDAY(DATE($E$2,$K$2,1),2)+1+26),RESERVAS!$I$6:$I$203,"&lt;&gt;Cancelada",RESERVAS!$I$6:$I$203,"&lt;&gt;Consulta")=1,"ALUGADA","CONFLITO"))&amp;IF(COUNTIFS(RESERVAS!$C$6:$C$203,"&lt;="&amp;(DATE($E$2,$K$2,1)-WEEKDAY(DATE($E$2,$K$2,1),2)+1+26),RESERVAS!$D$6:$D$203,"&gt;"&amp;(DATE($E$2,$K$2,1)-WEEKDAY(DATE($E$2,$K$2,1),2)+1+26),RESERVAS!$I$6:$I$203,"&lt;&gt;Cancelada",RESERVAS!$I$6:$I$203,"&lt;&gt;Consulta")=0,"",CHAR(10)&amp;IFERROR(LOOKUP(2,1/((RESERVAS!$C$6:$C$203&lt;=(DATE($E$2,$K$2,1)-WEEKDAY(DATE($E$2,$K$2,1),2)+1+26))*(RESERVAS!$D$6:$D$203&gt;(DATE($E$2,$K$2,1)-WEEKDAY(DATE($E$2,$K$2,1),2)+1+26))*(RESERVAS!$I$6:$I$203&lt;&gt;"Cancelada")*(RESERVAS!$I$6:$I$203&lt;&gt;"Consulta")),RESERVAS!$B$6:$B$203),"")))</f>
        <v>26
DISPONÍVEL</v>
      </c>
      <c r="G8" s="34" t="str">
        <f>IF(MONTH((DATE($E$2,$K$2,1)-WEEKDAY(DATE($E$2,$K$2,1),2)+1+27))&lt;&gt;$K$2,"",TEXT((DATE($E$2,$K$2,1)-WEEKDAY(DATE($E$2,$K$2,1),2)+1+27),"dd")&amp;CHAR(10)&amp;IF(COUNTIFS(RESERVAS!$C$6:$C$203,"&lt;="&amp;(DATE($E$2,$K$2,1)-WEEKDAY(DATE($E$2,$K$2,1),2)+1+27),RESERVAS!$D$6:$D$203,"&gt;"&amp;(DATE($E$2,$K$2,1)-WEEKDAY(DATE($E$2,$K$2,1),2)+1+27),RESERVAS!$I$6:$I$203,"&lt;&gt;Cancelada",RESERVAS!$I$6:$I$203,"&lt;&gt;Consulta")=0,"DISPONÍVEL",IF(COUNTIFS(RESERVAS!$C$6:$C$203,"&lt;="&amp;(DATE($E$2,$K$2,1)-WEEKDAY(DATE($E$2,$K$2,1),2)+1+27),RESERVAS!$D$6:$D$203,"&gt;"&amp;(DATE($E$2,$K$2,1)-WEEKDAY(DATE($E$2,$K$2,1),2)+1+27),RESERVAS!$I$6:$I$203,"&lt;&gt;Cancelada",RESERVAS!$I$6:$I$203,"&lt;&gt;Consulta")=1,"ALUGADA","CONFLITO"))&amp;IF(COUNTIFS(RESERVAS!$C$6:$C$203,"&lt;="&amp;(DATE($E$2,$K$2,1)-WEEKDAY(DATE($E$2,$K$2,1),2)+1+27),RESERVAS!$D$6:$D$203,"&gt;"&amp;(DATE($E$2,$K$2,1)-WEEKDAY(DATE($E$2,$K$2,1),2)+1+27),RESERVAS!$I$6:$I$203,"&lt;&gt;Cancelada",RESERVAS!$I$6:$I$203,"&lt;&gt;Consulta")=0,"",CHAR(10)&amp;IFERROR(LOOKUP(2,1/((RESERVAS!$C$6:$C$203&lt;=(DATE($E$2,$K$2,1)-WEEKDAY(DATE($E$2,$K$2,1),2)+1+27))*(RESERVAS!$D$6:$D$203&gt;(DATE($E$2,$K$2,1)-WEEKDAY(DATE($E$2,$K$2,1),2)+1+27))*(RESERVAS!$I$6:$I$203&lt;&gt;"Cancelada")*(RESERVAS!$I$6:$I$203&lt;&gt;"Consulta")),RESERVAS!$B$6:$B$203),"")))</f>
        <v>27
DISPONÍVEL</v>
      </c>
      <c r="I8" s="35" t="s">
        <v>6</v>
      </c>
      <c r="J8" s="36">
        <f>J5-J6-J7</f>
        <v>2767.95</v>
      </c>
    </row>
    <row r="9" spans="1:12" ht="60.75" customHeight="1">
      <c r="A9" s="32" t="str">
        <f>IF(MONTH((DATE($E$2,$K$2,1)-WEEKDAY(DATE($E$2,$K$2,1),2)+1+28))&lt;&gt;$K$2,"",TEXT((DATE($E$2,$K$2,1)-WEEKDAY(DATE($E$2,$K$2,1),2)+1+28),"dd")&amp;CHAR(10)&amp;IF(COUNTIFS(RESERVAS!$C$6:$C$203,"&lt;="&amp;(DATE($E$2,$K$2,1)-WEEKDAY(DATE($E$2,$K$2,1),2)+1+28),RESERVAS!$D$6:$D$203,"&gt;"&amp;(DATE($E$2,$K$2,1)-WEEKDAY(DATE($E$2,$K$2,1),2)+1+28),RESERVAS!$I$6:$I$203,"&lt;&gt;Cancelada",RESERVAS!$I$6:$I$203,"&lt;&gt;Consulta")=0,"DISPONÍVEL",IF(COUNTIFS(RESERVAS!$C$6:$C$203,"&lt;="&amp;(DATE($E$2,$K$2,1)-WEEKDAY(DATE($E$2,$K$2,1),2)+1+28),RESERVAS!$D$6:$D$203,"&gt;"&amp;(DATE($E$2,$K$2,1)-WEEKDAY(DATE($E$2,$K$2,1),2)+1+28),RESERVAS!$I$6:$I$203,"&lt;&gt;Cancelada",RESERVAS!$I$6:$I$203,"&lt;&gt;Consulta")=1,"ALUGADA","CONFLITO"))&amp;IF(COUNTIFS(RESERVAS!$C$6:$C$203,"&lt;="&amp;(DATE($E$2,$K$2,1)-WEEKDAY(DATE($E$2,$K$2,1),2)+1+28),RESERVAS!$D$6:$D$203,"&gt;"&amp;(DATE($E$2,$K$2,1)-WEEKDAY(DATE($E$2,$K$2,1),2)+1+28),RESERVAS!$I$6:$I$203,"&lt;&gt;Cancelada",RESERVAS!$I$6:$I$203,"&lt;&gt;Consulta")=0,"",CHAR(10)&amp;IFERROR(LOOKUP(2,1/((RESERVAS!$C$6:$C$203&lt;=(DATE($E$2,$K$2,1)-WEEKDAY(DATE($E$2,$K$2,1),2)+1+28))*(RESERVAS!$D$6:$D$203&gt;(DATE($E$2,$K$2,1)-WEEKDAY(DATE($E$2,$K$2,1),2)+1+28))*(RESERVAS!$I$6:$I$203&lt;&gt;"Cancelada")*(RESERVAS!$I$6:$I$203&lt;&gt;"Consulta")),RESERVAS!$B$6:$B$203),"")))</f>
        <v>28
DISPONÍVEL</v>
      </c>
      <c r="B9" s="33" t="str">
        <f>IF(MONTH((DATE($E$2,$K$2,1)-WEEKDAY(DATE($E$2,$K$2,1),2)+1+29))&lt;&gt;$K$2,"",TEXT((DATE($E$2,$K$2,1)-WEEKDAY(DATE($E$2,$K$2,1),2)+1+29),"dd")&amp;CHAR(10)&amp;IF(COUNTIFS(RESERVAS!$C$6:$C$203,"&lt;="&amp;(DATE($E$2,$K$2,1)-WEEKDAY(DATE($E$2,$K$2,1),2)+1+29),RESERVAS!$D$6:$D$203,"&gt;"&amp;(DATE($E$2,$K$2,1)-WEEKDAY(DATE($E$2,$K$2,1),2)+1+29),RESERVAS!$I$6:$I$203,"&lt;&gt;Cancelada",RESERVAS!$I$6:$I$203,"&lt;&gt;Consulta")=0,"DISPONÍVEL",IF(COUNTIFS(RESERVAS!$C$6:$C$203,"&lt;="&amp;(DATE($E$2,$K$2,1)-WEEKDAY(DATE($E$2,$K$2,1),2)+1+29),RESERVAS!$D$6:$D$203,"&gt;"&amp;(DATE($E$2,$K$2,1)-WEEKDAY(DATE($E$2,$K$2,1),2)+1+29),RESERVAS!$I$6:$I$203,"&lt;&gt;Cancelada",RESERVAS!$I$6:$I$203,"&lt;&gt;Consulta")=1,"ALUGADA","CONFLITO"))&amp;IF(COUNTIFS(RESERVAS!$C$6:$C$203,"&lt;="&amp;(DATE($E$2,$K$2,1)-WEEKDAY(DATE($E$2,$K$2,1),2)+1+29),RESERVAS!$D$6:$D$203,"&gt;"&amp;(DATE($E$2,$K$2,1)-WEEKDAY(DATE($E$2,$K$2,1),2)+1+29),RESERVAS!$I$6:$I$203,"&lt;&gt;Cancelada",RESERVAS!$I$6:$I$203,"&lt;&gt;Consulta")=0,"",CHAR(10)&amp;IFERROR(LOOKUP(2,1/((RESERVAS!$C$6:$C$203&lt;=(DATE($E$2,$K$2,1)-WEEKDAY(DATE($E$2,$K$2,1),2)+1+29))*(RESERVAS!$D$6:$D$203&gt;(DATE($E$2,$K$2,1)-WEEKDAY(DATE($E$2,$K$2,1),2)+1+29))*(RESERVAS!$I$6:$I$203&lt;&gt;"Cancelada")*(RESERVAS!$I$6:$I$203&lt;&gt;"Consulta")),RESERVAS!$B$6:$B$203),"")))</f>
        <v>29
DISPONÍVEL</v>
      </c>
      <c r="C9" s="33" t="str">
        <f>IF(MONTH((DATE($E$2,$K$2,1)-WEEKDAY(DATE($E$2,$K$2,1),2)+1+30))&lt;&gt;$K$2,"",TEXT((DATE($E$2,$K$2,1)-WEEKDAY(DATE($E$2,$K$2,1),2)+1+30),"dd")&amp;CHAR(10)&amp;IF(COUNTIFS(RESERVAS!$C$6:$C$203,"&lt;="&amp;(DATE($E$2,$K$2,1)-WEEKDAY(DATE($E$2,$K$2,1),2)+1+30),RESERVAS!$D$6:$D$203,"&gt;"&amp;(DATE($E$2,$K$2,1)-WEEKDAY(DATE($E$2,$K$2,1),2)+1+30),RESERVAS!$I$6:$I$203,"&lt;&gt;Cancelada",RESERVAS!$I$6:$I$203,"&lt;&gt;Consulta")=0,"DISPONÍVEL",IF(COUNTIFS(RESERVAS!$C$6:$C$203,"&lt;="&amp;(DATE($E$2,$K$2,1)-WEEKDAY(DATE($E$2,$K$2,1),2)+1+30),RESERVAS!$D$6:$D$203,"&gt;"&amp;(DATE($E$2,$K$2,1)-WEEKDAY(DATE($E$2,$K$2,1),2)+1+30),RESERVAS!$I$6:$I$203,"&lt;&gt;Cancelada",RESERVAS!$I$6:$I$203,"&lt;&gt;Consulta")=1,"ALUGADA","CONFLITO"))&amp;IF(COUNTIFS(RESERVAS!$C$6:$C$203,"&lt;="&amp;(DATE($E$2,$K$2,1)-WEEKDAY(DATE($E$2,$K$2,1),2)+1+30),RESERVAS!$D$6:$D$203,"&gt;"&amp;(DATE($E$2,$K$2,1)-WEEKDAY(DATE($E$2,$K$2,1),2)+1+30),RESERVAS!$I$6:$I$203,"&lt;&gt;Cancelada",RESERVAS!$I$6:$I$203,"&lt;&gt;Consulta")=0,"",CHAR(10)&amp;IFERROR(LOOKUP(2,1/((RESERVAS!$C$6:$C$203&lt;=(DATE($E$2,$K$2,1)-WEEKDAY(DATE($E$2,$K$2,1),2)+1+30))*(RESERVAS!$D$6:$D$203&gt;(DATE($E$2,$K$2,1)-WEEKDAY(DATE($E$2,$K$2,1),2)+1+30))*(RESERVAS!$I$6:$I$203&lt;&gt;"Cancelada")*(RESERVAS!$I$6:$I$203&lt;&gt;"Consulta")),RESERVAS!$B$6:$B$203),"")))</f>
        <v>30
DISPONÍVEL</v>
      </c>
      <c r="D9" s="33" t="str">
        <f>IF(MONTH((DATE($E$2,$K$2,1)-WEEKDAY(DATE($E$2,$K$2,1),2)+1+31))&lt;&gt;$K$2,"",TEXT((DATE($E$2,$K$2,1)-WEEKDAY(DATE($E$2,$K$2,1),2)+1+31),"dd")&amp;CHAR(10)&amp;IF(COUNTIFS(RESERVAS!$C$6:$C$203,"&lt;="&amp;(DATE($E$2,$K$2,1)-WEEKDAY(DATE($E$2,$K$2,1),2)+1+31),RESERVAS!$D$6:$D$203,"&gt;"&amp;(DATE($E$2,$K$2,1)-WEEKDAY(DATE($E$2,$K$2,1),2)+1+31),RESERVAS!$I$6:$I$203,"&lt;&gt;Cancelada",RESERVAS!$I$6:$I$203,"&lt;&gt;Consulta")=0,"DISPONÍVEL",IF(COUNTIFS(RESERVAS!$C$6:$C$203,"&lt;="&amp;(DATE($E$2,$K$2,1)-WEEKDAY(DATE($E$2,$K$2,1),2)+1+31),RESERVAS!$D$6:$D$203,"&gt;"&amp;(DATE($E$2,$K$2,1)-WEEKDAY(DATE($E$2,$K$2,1),2)+1+31),RESERVAS!$I$6:$I$203,"&lt;&gt;Cancelada",RESERVAS!$I$6:$I$203,"&lt;&gt;Consulta")=1,"ALUGADA","CONFLITO"))&amp;IF(COUNTIFS(RESERVAS!$C$6:$C$203,"&lt;="&amp;(DATE($E$2,$K$2,1)-WEEKDAY(DATE($E$2,$K$2,1),2)+1+31),RESERVAS!$D$6:$D$203,"&gt;"&amp;(DATE($E$2,$K$2,1)-WEEKDAY(DATE($E$2,$K$2,1),2)+1+31),RESERVAS!$I$6:$I$203,"&lt;&gt;Cancelada",RESERVAS!$I$6:$I$203,"&lt;&gt;Consulta")=0,"",CHAR(10)&amp;IFERROR(LOOKUP(2,1/((RESERVAS!$C$6:$C$203&lt;=(DATE($E$2,$K$2,1)-WEEKDAY(DATE($E$2,$K$2,1),2)+1+31))*(RESERVAS!$D$6:$D$203&gt;(DATE($E$2,$K$2,1)-WEEKDAY(DATE($E$2,$K$2,1),2)+1+31))*(RESERVAS!$I$6:$I$203&lt;&gt;"Cancelada")*(RESERVAS!$I$6:$I$203&lt;&gt;"Consulta")),RESERVAS!$B$6:$B$203),"")))</f>
        <v/>
      </c>
      <c r="E9" s="33" t="str">
        <f>IF(MONTH((DATE($E$2,$K$2,1)-WEEKDAY(DATE($E$2,$K$2,1),2)+1+32))&lt;&gt;$K$2,"",TEXT((DATE($E$2,$K$2,1)-WEEKDAY(DATE($E$2,$K$2,1),2)+1+32),"dd")&amp;CHAR(10)&amp;IF(COUNTIFS(RESERVAS!$C$6:$C$203,"&lt;="&amp;(DATE($E$2,$K$2,1)-WEEKDAY(DATE($E$2,$K$2,1),2)+1+32),RESERVAS!$D$6:$D$203,"&gt;"&amp;(DATE($E$2,$K$2,1)-WEEKDAY(DATE($E$2,$K$2,1),2)+1+32),RESERVAS!$I$6:$I$203,"&lt;&gt;Cancelada",RESERVAS!$I$6:$I$203,"&lt;&gt;Consulta")=0,"DISPONÍVEL",IF(COUNTIFS(RESERVAS!$C$6:$C$203,"&lt;="&amp;(DATE($E$2,$K$2,1)-WEEKDAY(DATE($E$2,$K$2,1),2)+1+32),RESERVAS!$D$6:$D$203,"&gt;"&amp;(DATE($E$2,$K$2,1)-WEEKDAY(DATE($E$2,$K$2,1),2)+1+32),RESERVAS!$I$6:$I$203,"&lt;&gt;Cancelada",RESERVAS!$I$6:$I$203,"&lt;&gt;Consulta")=1,"ALUGADA","CONFLITO"))&amp;IF(COUNTIFS(RESERVAS!$C$6:$C$203,"&lt;="&amp;(DATE($E$2,$K$2,1)-WEEKDAY(DATE($E$2,$K$2,1),2)+1+32),RESERVAS!$D$6:$D$203,"&gt;"&amp;(DATE($E$2,$K$2,1)-WEEKDAY(DATE($E$2,$K$2,1),2)+1+32),RESERVAS!$I$6:$I$203,"&lt;&gt;Cancelada",RESERVAS!$I$6:$I$203,"&lt;&gt;Consulta")=0,"",CHAR(10)&amp;IFERROR(LOOKUP(2,1/((RESERVAS!$C$6:$C$203&lt;=(DATE($E$2,$K$2,1)-WEEKDAY(DATE($E$2,$K$2,1),2)+1+32))*(RESERVAS!$D$6:$D$203&gt;(DATE($E$2,$K$2,1)-WEEKDAY(DATE($E$2,$K$2,1),2)+1+32))*(RESERVAS!$I$6:$I$203&lt;&gt;"Cancelada")*(RESERVAS!$I$6:$I$203&lt;&gt;"Consulta")),RESERVAS!$B$6:$B$203),"")))</f>
        <v/>
      </c>
      <c r="F9" s="33" t="str">
        <f>IF(MONTH((DATE($E$2,$K$2,1)-WEEKDAY(DATE($E$2,$K$2,1),2)+1+33))&lt;&gt;$K$2,"",TEXT((DATE($E$2,$K$2,1)-WEEKDAY(DATE($E$2,$K$2,1),2)+1+33),"dd")&amp;CHAR(10)&amp;IF(COUNTIFS(RESERVAS!$C$6:$C$203,"&lt;="&amp;(DATE($E$2,$K$2,1)-WEEKDAY(DATE($E$2,$K$2,1),2)+1+33),RESERVAS!$D$6:$D$203,"&gt;"&amp;(DATE($E$2,$K$2,1)-WEEKDAY(DATE($E$2,$K$2,1),2)+1+33),RESERVAS!$I$6:$I$203,"&lt;&gt;Cancelada",RESERVAS!$I$6:$I$203,"&lt;&gt;Consulta")=0,"DISPONÍVEL",IF(COUNTIFS(RESERVAS!$C$6:$C$203,"&lt;="&amp;(DATE($E$2,$K$2,1)-WEEKDAY(DATE($E$2,$K$2,1),2)+1+33),RESERVAS!$D$6:$D$203,"&gt;"&amp;(DATE($E$2,$K$2,1)-WEEKDAY(DATE($E$2,$K$2,1),2)+1+33),RESERVAS!$I$6:$I$203,"&lt;&gt;Cancelada",RESERVAS!$I$6:$I$203,"&lt;&gt;Consulta")=1,"ALUGADA","CONFLITO"))&amp;IF(COUNTIFS(RESERVAS!$C$6:$C$203,"&lt;="&amp;(DATE($E$2,$K$2,1)-WEEKDAY(DATE($E$2,$K$2,1),2)+1+33),RESERVAS!$D$6:$D$203,"&gt;"&amp;(DATE($E$2,$K$2,1)-WEEKDAY(DATE($E$2,$K$2,1),2)+1+33),RESERVAS!$I$6:$I$203,"&lt;&gt;Cancelada",RESERVAS!$I$6:$I$203,"&lt;&gt;Consulta")=0,"",CHAR(10)&amp;IFERROR(LOOKUP(2,1/((RESERVAS!$C$6:$C$203&lt;=(DATE($E$2,$K$2,1)-WEEKDAY(DATE($E$2,$K$2,1),2)+1+33))*(RESERVAS!$D$6:$D$203&gt;(DATE($E$2,$K$2,1)-WEEKDAY(DATE($E$2,$K$2,1),2)+1+33))*(RESERVAS!$I$6:$I$203&lt;&gt;"Cancelada")*(RESERVAS!$I$6:$I$203&lt;&gt;"Consulta")),RESERVAS!$B$6:$B$203),"")))</f>
        <v/>
      </c>
      <c r="G9" s="34" t="str">
        <f>IF(MONTH((DATE($E$2,$K$2,1)-WEEKDAY(DATE($E$2,$K$2,1),2)+1+34))&lt;&gt;$K$2,"",TEXT((DATE($E$2,$K$2,1)-WEEKDAY(DATE($E$2,$K$2,1),2)+1+34),"dd")&amp;CHAR(10)&amp;IF(COUNTIFS(RESERVAS!$C$6:$C$203,"&lt;="&amp;(DATE($E$2,$K$2,1)-WEEKDAY(DATE($E$2,$K$2,1),2)+1+34),RESERVAS!$D$6:$D$203,"&gt;"&amp;(DATE($E$2,$K$2,1)-WEEKDAY(DATE($E$2,$K$2,1),2)+1+34),RESERVAS!$I$6:$I$203,"&lt;&gt;Cancelada",RESERVAS!$I$6:$I$203,"&lt;&gt;Consulta")=0,"DISPONÍVEL",IF(COUNTIFS(RESERVAS!$C$6:$C$203,"&lt;="&amp;(DATE($E$2,$K$2,1)-WEEKDAY(DATE($E$2,$K$2,1),2)+1+34),RESERVAS!$D$6:$D$203,"&gt;"&amp;(DATE($E$2,$K$2,1)-WEEKDAY(DATE($E$2,$K$2,1),2)+1+34),RESERVAS!$I$6:$I$203,"&lt;&gt;Cancelada",RESERVAS!$I$6:$I$203,"&lt;&gt;Consulta")=1,"ALUGADA","CONFLITO"))&amp;IF(COUNTIFS(RESERVAS!$C$6:$C$203,"&lt;="&amp;(DATE($E$2,$K$2,1)-WEEKDAY(DATE($E$2,$K$2,1),2)+1+34),RESERVAS!$D$6:$D$203,"&gt;"&amp;(DATE($E$2,$K$2,1)-WEEKDAY(DATE($E$2,$K$2,1),2)+1+34),RESERVAS!$I$6:$I$203,"&lt;&gt;Cancelada",RESERVAS!$I$6:$I$203,"&lt;&gt;Consulta")=0,"",CHAR(10)&amp;IFERROR(LOOKUP(2,1/((RESERVAS!$C$6:$C$203&lt;=(DATE($E$2,$K$2,1)-WEEKDAY(DATE($E$2,$K$2,1),2)+1+34))*(RESERVAS!$D$6:$D$203&gt;(DATE($E$2,$K$2,1)-WEEKDAY(DATE($E$2,$K$2,1),2)+1+34))*(RESERVAS!$I$6:$I$203&lt;&gt;"Cancelada")*(RESERVAS!$I$6:$I$203&lt;&gt;"Consulta")),RESERVAS!$B$6:$B$203),"")))</f>
        <v/>
      </c>
      <c r="I9" s="35" t="s">
        <v>7</v>
      </c>
      <c r="J9" s="37">
        <f>SUMPRODUCT((RESERVAS!$C$6:$C$203&lt;DATE($E$2,$K$2+1,1))*(RESERVAS!$D$6:$D$203&gt;DATE($E$2,$K$2,1))*(RESERVAS!$I$6:$I$203&lt;&gt;"Cancelada")*(RESERVAS!$I$6:$I$203&lt;&gt;"Consulta")*(((RESERVAS!$D$6:$D$203&lt;DATE($E$2,$K$2+1,1))*RESERVAS!$D$6:$D$203+(RESERVAS!$D$6:$D$203&gt;=DATE($E$2,$K$2+1,1))*DATE($E$2,$K$2+1,1))-((RESERVAS!$C$6:$C$203&gt;DATE($E$2,$K$2,1))*RESERVAS!$C$6:$C$203+(RESERVAS!$C$6:$C$203&lt;=DATE($E$2,$K$2,1))*DATE($E$2,$K$2,1))))</f>
        <v>8</v>
      </c>
    </row>
    <row r="10" spans="1:12" ht="60.75" customHeight="1">
      <c r="A10" s="32" t="str">
        <f>IF(MONTH((DATE($E$2,$K$2,1)-WEEKDAY(DATE($E$2,$K$2,1),2)+1+35))&lt;&gt;$K$2,"",TEXT((DATE($E$2,$K$2,1)-WEEKDAY(DATE($E$2,$K$2,1),2)+1+35),"dd")&amp;CHAR(10)&amp;IF(COUNTIFS(RESERVAS!$C$6:$C$203,"&lt;="&amp;(DATE($E$2,$K$2,1)-WEEKDAY(DATE($E$2,$K$2,1),2)+1+35),RESERVAS!$D$6:$D$203,"&gt;"&amp;(DATE($E$2,$K$2,1)-WEEKDAY(DATE($E$2,$K$2,1),2)+1+35),RESERVAS!$I$6:$I$203,"&lt;&gt;Cancelada",RESERVAS!$I$6:$I$203,"&lt;&gt;Consulta")=0,"DISPONÍVEL",IF(COUNTIFS(RESERVAS!$C$6:$C$203,"&lt;="&amp;(DATE($E$2,$K$2,1)-WEEKDAY(DATE($E$2,$K$2,1),2)+1+35),RESERVAS!$D$6:$D$203,"&gt;"&amp;(DATE($E$2,$K$2,1)-WEEKDAY(DATE($E$2,$K$2,1),2)+1+35),RESERVAS!$I$6:$I$203,"&lt;&gt;Cancelada",RESERVAS!$I$6:$I$203,"&lt;&gt;Consulta")=1,"ALUGADA","CONFLITO"))&amp;IF(COUNTIFS(RESERVAS!$C$6:$C$203,"&lt;="&amp;(DATE($E$2,$K$2,1)-WEEKDAY(DATE($E$2,$K$2,1),2)+1+35),RESERVAS!$D$6:$D$203,"&gt;"&amp;(DATE($E$2,$K$2,1)-WEEKDAY(DATE($E$2,$K$2,1),2)+1+35),RESERVAS!$I$6:$I$203,"&lt;&gt;Cancelada",RESERVAS!$I$6:$I$203,"&lt;&gt;Consulta")=0,"",CHAR(10)&amp;IFERROR(LOOKUP(2,1/((RESERVAS!$C$6:$C$203&lt;=(DATE($E$2,$K$2,1)-WEEKDAY(DATE($E$2,$K$2,1),2)+1+35))*(RESERVAS!$D$6:$D$203&gt;(DATE($E$2,$K$2,1)-WEEKDAY(DATE($E$2,$K$2,1),2)+1+35))*(RESERVAS!$I$6:$I$203&lt;&gt;"Cancelada")*(RESERVAS!$I$6:$I$203&lt;&gt;"Consulta")),RESERVAS!$B$6:$B$203),"")))</f>
        <v/>
      </c>
      <c r="B10" s="33" t="str">
        <f>IF(MONTH((DATE($E$2,$K$2,1)-WEEKDAY(DATE($E$2,$K$2,1),2)+1+36))&lt;&gt;$K$2,"",TEXT((DATE($E$2,$K$2,1)-WEEKDAY(DATE($E$2,$K$2,1),2)+1+36),"dd")&amp;CHAR(10)&amp;IF(COUNTIFS(RESERVAS!$C$6:$C$203,"&lt;="&amp;(DATE($E$2,$K$2,1)-WEEKDAY(DATE($E$2,$K$2,1),2)+1+36),RESERVAS!$D$6:$D$203,"&gt;"&amp;(DATE($E$2,$K$2,1)-WEEKDAY(DATE($E$2,$K$2,1),2)+1+36),RESERVAS!$I$6:$I$203,"&lt;&gt;Cancelada",RESERVAS!$I$6:$I$203,"&lt;&gt;Consulta")=0,"DISPONÍVEL",IF(COUNTIFS(RESERVAS!$C$6:$C$203,"&lt;="&amp;(DATE($E$2,$K$2,1)-WEEKDAY(DATE($E$2,$K$2,1),2)+1+36),RESERVAS!$D$6:$D$203,"&gt;"&amp;(DATE($E$2,$K$2,1)-WEEKDAY(DATE($E$2,$K$2,1),2)+1+36),RESERVAS!$I$6:$I$203,"&lt;&gt;Cancelada",RESERVAS!$I$6:$I$203,"&lt;&gt;Consulta")=1,"ALUGADA","CONFLITO"))&amp;IF(COUNTIFS(RESERVAS!$C$6:$C$203,"&lt;="&amp;(DATE($E$2,$K$2,1)-WEEKDAY(DATE($E$2,$K$2,1),2)+1+36),RESERVAS!$D$6:$D$203,"&gt;"&amp;(DATE($E$2,$K$2,1)-WEEKDAY(DATE($E$2,$K$2,1),2)+1+36),RESERVAS!$I$6:$I$203,"&lt;&gt;Cancelada",RESERVAS!$I$6:$I$203,"&lt;&gt;Consulta")=0,"",CHAR(10)&amp;IFERROR(LOOKUP(2,1/((RESERVAS!$C$6:$C$203&lt;=(DATE($E$2,$K$2,1)-WEEKDAY(DATE($E$2,$K$2,1),2)+1+36))*(RESERVAS!$D$6:$D$203&gt;(DATE($E$2,$K$2,1)-WEEKDAY(DATE($E$2,$K$2,1),2)+1+36))*(RESERVAS!$I$6:$I$203&lt;&gt;"Cancelada")*(RESERVAS!$I$6:$I$203&lt;&gt;"Consulta")),RESERVAS!$B$6:$B$203),"")))</f>
        <v/>
      </c>
      <c r="C10" s="33" t="str">
        <f>IF(MONTH((DATE($E$2,$K$2,1)-WEEKDAY(DATE($E$2,$K$2,1),2)+1+37))&lt;&gt;$K$2,"",TEXT((DATE($E$2,$K$2,1)-WEEKDAY(DATE($E$2,$K$2,1),2)+1+37),"dd")&amp;CHAR(10)&amp;IF(COUNTIFS(RESERVAS!$C$6:$C$203,"&lt;="&amp;(DATE($E$2,$K$2,1)-WEEKDAY(DATE($E$2,$K$2,1),2)+1+37),RESERVAS!$D$6:$D$203,"&gt;"&amp;(DATE($E$2,$K$2,1)-WEEKDAY(DATE($E$2,$K$2,1),2)+1+37),RESERVAS!$I$6:$I$203,"&lt;&gt;Cancelada",RESERVAS!$I$6:$I$203,"&lt;&gt;Consulta")=0,"DISPONÍVEL",IF(COUNTIFS(RESERVAS!$C$6:$C$203,"&lt;="&amp;(DATE($E$2,$K$2,1)-WEEKDAY(DATE($E$2,$K$2,1),2)+1+37),RESERVAS!$D$6:$D$203,"&gt;"&amp;(DATE($E$2,$K$2,1)-WEEKDAY(DATE($E$2,$K$2,1),2)+1+37),RESERVAS!$I$6:$I$203,"&lt;&gt;Cancelada",RESERVAS!$I$6:$I$203,"&lt;&gt;Consulta")=1,"ALUGADA","CONFLITO"))&amp;IF(COUNTIFS(RESERVAS!$C$6:$C$203,"&lt;="&amp;(DATE($E$2,$K$2,1)-WEEKDAY(DATE($E$2,$K$2,1),2)+1+37),RESERVAS!$D$6:$D$203,"&gt;"&amp;(DATE($E$2,$K$2,1)-WEEKDAY(DATE($E$2,$K$2,1),2)+1+37),RESERVAS!$I$6:$I$203,"&lt;&gt;Cancelada",RESERVAS!$I$6:$I$203,"&lt;&gt;Consulta")=0,"",CHAR(10)&amp;IFERROR(LOOKUP(2,1/((RESERVAS!$C$6:$C$203&lt;=(DATE($E$2,$K$2,1)-WEEKDAY(DATE($E$2,$K$2,1),2)+1+37))*(RESERVAS!$D$6:$D$203&gt;(DATE($E$2,$K$2,1)-WEEKDAY(DATE($E$2,$K$2,1),2)+1+37))*(RESERVAS!$I$6:$I$203&lt;&gt;"Cancelada")*(RESERVAS!$I$6:$I$203&lt;&gt;"Consulta")),RESERVAS!$B$6:$B$203),"")))</f>
        <v/>
      </c>
      <c r="D10" s="33" t="str">
        <f>IF(MONTH((DATE($E$2,$K$2,1)-WEEKDAY(DATE($E$2,$K$2,1),2)+1+38))&lt;&gt;$K$2,"",TEXT((DATE($E$2,$K$2,1)-WEEKDAY(DATE($E$2,$K$2,1),2)+1+38),"dd")&amp;CHAR(10)&amp;IF(COUNTIFS(RESERVAS!$C$6:$C$203,"&lt;="&amp;(DATE($E$2,$K$2,1)-WEEKDAY(DATE($E$2,$K$2,1),2)+1+38),RESERVAS!$D$6:$D$203,"&gt;"&amp;(DATE($E$2,$K$2,1)-WEEKDAY(DATE($E$2,$K$2,1),2)+1+38),RESERVAS!$I$6:$I$203,"&lt;&gt;Cancelada",RESERVAS!$I$6:$I$203,"&lt;&gt;Consulta")=0,"DISPONÍVEL",IF(COUNTIFS(RESERVAS!$C$6:$C$203,"&lt;="&amp;(DATE($E$2,$K$2,1)-WEEKDAY(DATE($E$2,$K$2,1),2)+1+38),RESERVAS!$D$6:$D$203,"&gt;"&amp;(DATE($E$2,$K$2,1)-WEEKDAY(DATE($E$2,$K$2,1),2)+1+38),RESERVAS!$I$6:$I$203,"&lt;&gt;Cancelada",RESERVAS!$I$6:$I$203,"&lt;&gt;Consulta")=1,"ALUGADA","CONFLITO"))&amp;IF(COUNTIFS(RESERVAS!$C$6:$C$203,"&lt;="&amp;(DATE($E$2,$K$2,1)-WEEKDAY(DATE($E$2,$K$2,1),2)+1+38),RESERVAS!$D$6:$D$203,"&gt;"&amp;(DATE($E$2,$K$2,1)-WEEKDAY(DATE($E$2,$K$2,1),2)+1+38),RESERVAS!$I$6:$I$203,"&lt;&gt;Cancelada",RESERVAS!$I$6:$I$203,"&lt;&gt;Consulta")=0,"",CHAR(10)&amp;IFERROR(LOOKUP(2,1/((RESERVAS!$C$6:$C$203&lt;=(DATE($E$2,$K$2,1)-WEEKDAY(DATE($E$2,$K$2,1),2)+1+38))*(RESERVAS!$D$6:$D$203&gt;(DATE($E$2,$K$2,1)-WEEKDAY(DATE($E$2,$K$2,1),2)+1+38))*(RESERVAS!$I$6:$I$203&lt;&gt;"Cancelada")*(RESERVAS!$I$6:$I$203&lt;&gt;"Consulta")),RESERVAS!$B$6:$B$203),"")))</f>
        <v/>
      </c>
      <c r="E10" s="33" t="str">
        <f>IF(MONTH((DATE($E$2,$K$2,1)-WEEKDAY(DATE($E$2,$K$2,1),2)+1+39))&lt;&gt;$K$2,"",TEXT((DATE($E$2,$K$2,1)-WEEKDAY(DATE($E$2,$K$2,1),2)+1+39),"dd")&amp;CHAR(10)&amp;IF(COUNTIFS(RESERVAS!$C$6:$C$203,"&lt;="&amp;(DATE($E$2,$K$2,1)-WEEKDAY(DATE($E$2,$K$2,1),2)+1+39),RESERVAS!$D$6:$D$203,"&gt;"&amp;(DATE($E$2,$K$2,1)-WEEKDAY(DATE($E$2,$K$2,1),2)+1+39),RESERVAS!$I$6:$I$203,"&lt;&gt;Cancelada",RESERVAS!$I$6:$I$203,"&lt;&gt;Consulta")=0,"DISPONÍVEL",IF(COUNTIFS(RESERVAS!$C$6:$C$203,"&lt;="&amp;(DATE($E$2,$K$2,1)-WEEKDAY(DATE($E$2,$K$2,1),2)+1+39),RESERVAS!$D$6:$D$203,"&gt;"&amp;(DATE($E$2,$K$2,1)-WEEKDAY(DATE($E$2,$K$2,1),2)+1+39),RESERVAS!$I$6:$I$203,"&lt;&gt;Cancelada",RESERVAS!$I$6:$I$203,"&lt;&gt;Consulta")=1,"ALUGADA","CONFLITO"))&amp;IF(COUNTIFS(RESERVAS!$C$6:$C$203,"&lt;="&amp;(DATE($E$2,$K$2,1)-WEEKDAY(DATE($E$2,$K$2,1),2)+1+39),RESERVAS!$D$6:$D$203,"&gt;"&amp;(DATE($E$2,$K$2,1)-WEEKDAY(DATE($E$2,$K$2,1),2)+1+39),RESERVAS!$I$6:$I$203,"&lt;&gt;Cancelada",RESERVAS!$I$6:$I$203,"&lt;&gt;Consulta")=0,"",CHAR(10)&amp;IFERROR(LOOKUP(2,1/((RESERVAS!$C$6:$C$203&lt;=(DATE($E$2,$K$2,1)-WEEKDAY(DATE($E$2,$K$2,1),2)+1+39))*(RESERVAS!$D$6:$D$203&gt;(DATE($E$2,$K$2,1)-WEEKDAY(DATE($E$2,$K$2,1),2)+1+39))*(RESERVAS!$I$6:$I$203&lt;&gt;"Cancelada")*(RESERVAS!$I$6:$I$203&lt;&gt;"Consulta")),RESERVAS!$B$6:$B$203),"")))</f>
        <v/>
      </c>
      <c r="F10" s="33" t="str">
        <f>IF(MONTH((DATE($E$2,$K$2,1)-WEEKDAY(DATE($E$2,$K$2,1),2)+1+40))&lt;&gt;$K$2,"",TEXT((DATE($E$2,$K$2,1)-WEEKDAY(DATE($E$2,$K$2,1),2)+1+40),"dd")&amp;CHAR(10)&amp;IF(COUNTIFS(RESERVAS!$C$6:$C$203,"&lt;="&amp;(DATE($E$2,$K$2,1)-WEEKDAY(DATE($E$2,$K$2,1),2)+1+40),RESERVAS!$D$6:$D$203,"&gt;"&amp;(DATE($E$2,$K$2,1)-WEEKDAY(DATE($E$2,$K$2,1),2)+1+40),RESERVAS!$I$6:$I$203,"&lt;&gt;Cancelada",RESERVAS!$I$6:$I$203,"&lt;&gt;Consulta")=0,"DISPONÍVEL",IF(COUNTIFS(RESERVAS!$C$6:$C$203,"&lt;="&amp;(DATE($E$2,$K$2,1)-WEEKDAY(DATE($E$2,$K$2,1),2)+1+40),RESERVAS!$D$6:$D$203,"&gt;"&amp;(DATE($E$2,$K$2,1)-WEEKDAY(DATE($E$2,$K$2,1),2)+1+40),RESERVAS!$I$6:$I$203,"&lt;&gt;Cancelada",RESERVAS!$I$6:$I$203,"&lt;&gt;Consulta")=1,"ALUGADA","CONFLITO"))&amp;IF(COUNTIFS(RESERVAS!$C$6:$C$203,"&lt;="&amp;(DATE($E$2,$K$2,1)-WEEKDAY(DATE($E$2,$K$2,1),2)+1+40),RESERVAS!$D$6:$D$203,"&gt;"&amp;(DATE($E$2,$K$2,1)-WEEKDAY(DATE($E$2,$K$2,1),2)+1+40),RESERVAS!$I$6:$I$203,"&lt;&gt;Cancelada",RESERVAS!$I$6:$I$203,"&lt;&gt;Consulta")=0,"",CHAR(10)&amp;IFERROR(LOOKUP(2,1/((RESERVAS!$C$6:$C$203&lt;=(DATE($E$2,$K$2,1)-WEEKDAY(DATE($E$2,$K$2,1),2)+1+40))*(RESERVAS!$D$6:$D$203&gt;(DATE($E$2,$K$2,1)-WEEKDAY(DATE($E$2,$K$2,1),2)+1+40))*(RESERVAS!$I$6:$I$203&lt;&gt;"Cancelada")*(RESERVAS!$I$6:$I$203&lt;&gt;"Consulta")),RESERVAS!$B$6:$B$203),"")))</f>
        <v/>
      </c>
      <c r="G10" s="34" t="str">
        <f>IF(MONTH((DATE($E$2,$K$2,1)-WEEKDAY(DATE($E$2,$K$2,1),2)+1+41))&lt;&gt;$K$2,"",TEXT((DATE($E$2,$K$2,1)-WEEKDAY(DATE($E$2,$K$2,1),2)+1+41),"dd")&amp;CHAR(10)&amp;IF(COUNTIFS(RESERVAS!$C$6:$C$203,"&lt;="&amp;(DATE($E$2,$K$2,1)-WEEKDAY(DATE($E$2,$K$2,1),2)+1+41),RESERVAS!$D$6:$D$203,"&gt;"&amp;(DATE($E$2,$K$2,1)-WEEKDAY(DATE($E$2,$K$2,1),2)+1+41),RESERVAS!$I$6:$I$203,"&lt;&gt;Cancelada",RESERVAS!$I$6:$I$203,"&lt;&gt;Consulta")=0,"DISPONÍVEL",IF(COUNTIFS(RESERVAS!$C$6:$C$203,"&lt;="&amp;(DATE($E$2,$K$2,1)-WEEKDAY(DATE($E$2,$K$2,1),2)+1+41),RESERVAS!$D$6:$D$203,"&gt;"&amp;(DATE($E$2,$K$2,1)-WEEKDAY(DATE($E$2,$K$2,1),2)+1+41),RESERVAS!$I$6:$I$203,"&lt;&gt;Cancelada",RESERVAS!$I$6:$I$203,"&lt;&gt;Consulta")=1,"ALUGADA","CONFLITO"))&amp;IF(COUNTIFS(RESERVAS!$C$6:$C$203,"&lt;="&amp;(DATE($E$2,$K$2,1)-WEEKDAY(DATE($E$2,$K$2,1),2)+1+41),RESERVAS!$D$6:$D$203,"&gt;"&amp;(DATE($E$2,$K$2,1)-WEEKDAY(DATE($E$2,$K$2,1),2)+1+41),RESERVAS!$I$6:$I$203,"&lt;&gt;Cancelada",RESERVAS!$I$6:$I$203,"&lt;&gt;Consulta")=0,"",CHAR(10)&amp;IFERROR(LOOKUP(2,1/((RESERVAS!$C$6:$C$203&lt;=(DATE($E$2,$K$2,1)-WEEKDAY(DATE($E$2,$K$2,1),2)+1+41))*(RESERVAS!$D$6:$D$203&gt;(DATE($E$2,$K$2,1)-WEEKDAY(DATE($E$2,$K$2,1),2)+1+41))*(RESERVAS!$I$6:$I$203&lt;&gt;"Cancelada")*(RESERVAS!$I$6:$I$203&lt;&gt;"Consulta")),RESERVAS!$B$6:$B$203),"")))</f>
        <v/>
      </c>
      <c r="I10" s="35" t="s">
        <v>15</v>
      </c>
      <c r="J10" s="38">
        <f>IF(DAY(EOMONTH(DATE($E$2,$K$2,1),0))=0,0,J9/DAY(EOMONTH(DATE($E$2,$K$2,1),0)))</f>
        <v>0.26666666666666666</v>
      </c>
    </row>
    <row r="12" spans="1:12" ht="15">
      <c r="A12" s="92"/>
      <c r="B12" s="92"/>
      <c r="C12" s="92"/>
      <c r="D12" s="92"/>
      <c r="E12" s="92"/>
      <c r="F12" s="92"/>
      <c r="G12" s="92"/>
      <c r="I12" s="121" t="s">
        <v>48</v>
      </c>
      <c r="J12" s="121"/>
      <c r="K12" s="121"/>
      <c r="L12" s="121"/>
    </row>
    <row r="13" spans="1:12" ht="15">
      <c r="A13" s="92"/>
      <c r="B13" s="92"/>
      <c r="C13" s="92"/>
      <c r="D13" s="92"/>
      <c r="E13" s="92"/>
      <c r="F13" s="92"/>
      <c r="G13" s="92"/>
      <c r="I13" s="39" t="s">
        <v>49</v>
      </c>
      <c r="J13" t="s">
        <v>50</v>
      </c>
    </row>
    <row r="14" spans="1:12" ht="15">
      <c r="A14" s="92"/>
      <c r="B14" s="92"/>
      <c r="C14" s="92"/>
      <c r="D14" s="92"/>
      <c r="E14" s="92"/>
      <c r="F14" s="92"/>
      <c r="G14" s="92"/>
      <c r="I14" s="40" t="s">
        <v>51</v>
      </c>
      <c r="J14" t="s">
        <v>52</v>
      </c>
    </row>
    <row r="15" spans="1:12" ht="15">
      <c r="I15" s="41" t="s">
        <v>53</v>
      </c>
      <c r="J15" t="s">
        <v>54</v>
      </c>
    </row>
  </sheetData>
  <mergeCells count="3">
    <mergeCell ref="A1:L1"/>
    <mergeCell ref="I4:L4"/>
    <mergeCell ref="I12:L12"/>
  </mergeCells>
  <conditionalFormatting sqref="A5:G10">
    <cfRule type="expression" dxfId="35" priority="1">
      <formula>ISNUMBER(SEARCH("DISPONÍVEL",A5))</formula>
    </cfRule>
    <cfRule type="expression" dxfId="34" priority="2">
      <formula>ISNUMBER(SEARCH("ALUGADA",A5))</formula>
    </cfRule>
    <cfRule type="expression" dxfId="33" priority="3">
      <formula>ISNUMBER(SEARCH("CONFLITO",A5))</formula>
    </cfRule>
  </conditionalFormatting>
  <dataValidations count="2">
    <dataValidation type="list" sqref="B2" xr:uid="{00000000-0002-0000-0100-000000000000}">
      <formula1>"Janeiro,Fevereiro,Março,Abril,Maio,Junho,Julho,Agosto,Setembro,Outubro,Novembro,Dezembro"</formula1>
    </dataValidation>
    <dataValidation type="list" sqref="E2" xr:uid="{00000000-0002-0000-0100-000001000000}">
      <formula1>"2026,2027,2028,2029,2030"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2"/>
  <sheetViews>
    <sheetView tabSelected="1" workbookViewId="0">
      <selection activeCell="A14" sqref="A14"/>
    </sheetView>
  </sheetViews>
  <sheetFormatPr defaultRowHeight="14.25"/>
  <cols>
    <col min="1" max="1" width="11" customWidth="1"/>
    <col min="2" max="2" width="27" customWidth="1"/>
    <col min="3" max="4" width="13" customWidth="1"/>
    <col min="5" max="5" width="9" customWidth="1"/>
    <col min="6" max="6" width="14" customWidth="1"/>
    <col min="7" max="7" width="16" customWidth="1"/>
    <col min="8" max="8" width="23" customWidth="1"/>
    <col min="9" max="9" width="16" customWidth="1"/>
    <col min="10" max="10" width="14" customWidth="1"/>
    <col min="11" max="12" width="11" customWidth="1"/>
    <col min="13" max="14" width="12" customWidth="1"/>
    <col min="15" max="15" width="14" customWidth="1"/>
    <col min="16" max="16" width="21" customWidth="1"/>
    <col min="17" max="17" width="17" customWidth="1"/>
    <col min="18" max="18" width="15" customWidth="1"/>
    <col min="19" max="19" width="16" customWidth="1"/>
    <col min="20" max="22" width="17" customWidth="1"/>
    <col min="23" max="23" width="15" customWidth="1"/>
    <col min="24" max="25" width="17" customWidth="1"/>
    <col min="26" max="26" width="12" customWidth="1"/>
    <col min="27" max="27" width="34" customWidth="1"/>
    <col min="28" max="28" width="18" customWidth="1"/>
    <col min="33" max="33" width="12.5" customWidth="1"/>
    <col min="34" max="34" width="15.75" customWidth="1"/>
  </cols>
  <sheetData>
    <row r="1" spans="1:34" ht="24" customHeight="1">
      <c r="A1" s="120" t="s">
        <v>55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3" spans="1:34">
      <c r="A3" s="123" t="s">
        <v>117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34" ht="15">
      <c r="AG4" s="124" t="s">
        <v>133</v>
      </c>
      <c r="AH4" s="124"/>
    </row>
    <row r="5" spans="1:34" ht="24" customHeight="1">
      <c r="A5" s="2" t="s">
        <v>56</v>
      </c>
      <c r="B5" s="4" t="s">
        <v>57</v>
      </c>
      <c r="C5" s="4" t="s">
        <v>58</v>
      </c>
      <c r="D5" s="4" t="s">
        <v>59</v>
      </c>
      <c r="E5" s="4" t="s">
        <v>23</v>
      </c>
      <c r="F5" s="4" t="s">
        <v>60</v>
      </c>
      <c r="G5" s="4" t="s">
        <v>3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M5" s="4" t="s">
        <v>66</v>
      </c>
      <c r="N5" s="4" t="s">
        <v>67</v>
      </c>
      <c r="O5" s="4" t="s">
        <v>68</v>
      </c>
      <c r="P5" s="4" t="s">
        <v>69</v>
      </c>
      <c r="Q5" s="4" t="s">
        <v>70</v>
      </c>
      <c r="R5" s="4" t="s">
        <v>71</v>
      </c>
      <c r="S5" s="4" t="s">
        <v>4</v>
      </c>
      <c r="T5" s="4" t="s">
        <v>72</v>
      </c>
      <c r="U5" s="4" t="s">
        <v>73</v>
      </c>
      <c r="V5" s="4" t="s">
        <v>74</v>
      </c>
      <c r="W5" s="4" t="s">
        <v>75</v>
      </c>
      <c r="X5" s="4" t="s">
        <v>76</v>
      </c>
      <c r="Y5" s="4" t="s">
        <v>77</v>
      </c>
      <c r="Z5" s="4" t="s">
        <v>78</v>
      </c>
      <c r="AA5" s="3" t="s">
        <v>79</v>
      </c>
      <c r="AB5" s="93" t="s">
        <v>118</v>
      </c>
      <c r="AC5" s="96" t="s">
        <v>130</v>
      </c>
      <c r="AD5" s="96" t="s">
        <v>131</v>
      </c>
      <c r="AE5" s="98" t="s">
        <v>132</v>
      </c>
      <c r="AG5" s="96" t="s">
        <v>119</v>
      </c>
      <c r="AH5" s="96" t="s">
        <v>120</v>
      </c>
    </row>
    <row r="6" spans="1:34" ht="18">
      <c r="A6" s="53" t="str">
        <f t="shared" ref="A6:A35" si="0">IF(B6="","","LOC-"&amp;TEXT(ROW()-5,"000"))</f>
        <v>LOC-001</v>
      </c>
      <c r="B6" s="54" t="s">
        <v>80</v>
      </c>
      <c r="C6" s="55">
        <v>46381</v>
      </c>
      <c r="D6" s="55">
        <v>46391</v>
      </c>
      <c r="E6" s="56">
        <f t="shared" ref="E6:E35" si="1">IF(OR(B6="",C6="",D6=""),0,MAX(0,D6-C6))</f>
        <v>10</v>
      </c>
      <c r="F6" s="57">
        <v>1100</v>
      </c>
      <c r="G6" s="58">
        <f t="shared" ref="G6:G35" si="2">IF(OR(B6="",E6=0,F6=""),0,E6*F6)</f>
        <v>11000</v>
      </c>
      <c r="H6" s="54" t="s">
        <v>81</v>
      </c>
      <c r="I6" s="54" t="s">
        <v>82</v>
      </c>
      <c r="J6" s="54" t="s">
        <v>83</v>
      </c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f>4490*2</f>
        <v>8980</v>
      </c>
      <c r="Q6" s="57">
        <v>0</v>
      </c>
      <c r="R6" s="57">
        <v>0</v>
      </c>
      <c r="S6" s="58">
        <f>IF(B6="",0,SUM(K6:R6)+SUMIFS('DESPESAS CASA'!$D$6:$D$305,'DESPESAS CASA'!$E$6:$E$305,A6))-P6</f>
        <v>0</v>
      </c>
      <c r="T6" s="58">
        <f t="shared" ref="T6:T35" si="3">IF(OR(B6="",E6=0),0,S6/E6)</f>
        <v>0</v>
      </c>
      <c r="U6" s="58">
        <f t="shared" ref="U6:U35" si="4">IF(B6="",0,G6-S6)</f>
        <v>11000</v>
      </c>
      <c r="V6" s="58">
        <f t="shared" ref="V6:V35" si="5">IF(OR(B6="",E6=0),0,U6/E6)</f>
        <v>1100</v>
      </c>
      <c r="W6" s="59">
        <f t="shared" ref="W6:W35" si="6">IF(OR(B6="",G6=0),0,U6/G6)</f>
        <v>1</v>
      </c>
      <c r="X6" s="57">
        <f>2200*2</f>
        <v>4400</v>
      </c>
      <c r="Y6" s="58">
        <f t="shared" ref="Y6:Y68" si="7">IF(B6="",0,IFERROR(MAX(0,G6-X6),G6))</f>
        <v>6600</v>
      </c>
      <c r="Z6" s="60" t="str">
        <f t="shared" ref="Z6:Z37" si="8">IF(B6="","",IF(COUNTIFS($C$6:$C$203,"&lt;"&amp;D6,$D$6:$D$203,"&gt;"&amp;C6,$I$6:$I$203,"&lt;&gt;Cancelada",$I$6:$I$203,"&lt;&gt;Consulta",$AB$6:$AB$203,$AB6)&gt;1,"CONFLITO","OK"))</f>
        <v>OK</v>
      </c>
      <c r="AA6" s="61" t="s">
        <v>84</v>
      </c>
      <c r="AB6" s="94" t="s">
        <v>119</v>
      </c>
      <c r="AC6">
        <v>0</v>
      </c>
      <c r="AD6">
        <v>0</v>
      </c>
      <c r="AE6" s="97" t="str">
        <f>IF((AC6+AD6)=0,"",AC6+AD6)</f>
        <v/>
      </c>
      <c r="AG6" s="99">
        <f>IFERROR(SUMIF($AB$6:$AB$1000,AG$5,$AE$6:$AE$1000)/COUNTIFS($AB$6:$AB$1000,AG$5,$AE$6:$AE$1000,"&gt;0"),"")</f>
        <v>3.8571428571428572</v>
      </c>
      <c r="AH6" s="99">
        <f>IFERROR(SUMIF($AB$6:$AB$1000,AH$5,$AE$6:$AE$1000)/COUNTIFS($AB$6:$AB$1000,AH$5,$AE$6:$AE$1000,"&gt;0"),"")</f>
        <v>5</v>
      </c>
    </row>
    <row r="7" spans="1:34" ht="15.75">
      <c r="A7" s="62" t="str">
        <f t="shared" si="0"/>
        <v>LOC-002</v>
      </c>
      <c r="B7" s="43" t="s">
        <v>85</v>
      </c>
      <c r="C7" s="45">
        <v>46269</v>
      </c>
      <c r="D7" s="45">
        <v>46273</v>
      </c>
      <c r="E7" s="50">
        <f t="shared" si="1"/>
        <v>4</v>
      </c>
      <c r="F7" s="47">
        <v>700</v>
      </c>
      <c r="G7" s="51">
        <f t="shared" si="2"/>
        <v>2800</v>
      </c>
      <c r="H7" s="43" t="s">
        <v>86</v>
      </c>
      <c r="I7" s="43" t="s">
        <v>106</v>
      </c>
      <c r="J7" s="54" t="s">
        <v>87</v>
      </c>
      <c r="K7" s="47"/>
      <c r="L7" s="47"/>
      <c r="M7" s="47"/>
      <c r="N7" s="47"/>
      <c r="O7" s="47"/>
      <c r="P7" s="47"/>
      <c r="Q7" s="47">
        <f>2800-2767.95</f>
        <v>32.050000000000182</v>
      </c>
      <c r="R7" s="47"/>
      <c r="S7" s="58">
        <f>IF(B7="",0,SUM(K7:R7)+SUMIFS('DESPESAS CASA'!$D$6:$D$305,'DESPESAS CASA'!$E$6:$E$305,A7))-P7</f>
        <v>32.050000000000182</v>
      </c>
      <c r="T7" s="51">
        <f t="shared" si="3"/>
        <v>8.0125000000000455</v>
      </c>
      <c r="U7" s="51">
        <f t="shared" si="4"/>
        <v>2767.95</v>
      </c>
      <c r="V7" s="51">
        <f t="shared" si="5"/>
        <v>691.98749999999995</v>
      </c>
      <c r="W7" s="52">
        <f t="shared" si="6"/>
        <v>0.98855357142857136</v>
      </c>
      <c r="X7" s="47">
        <f>G7</f>
        <v>2800</v>
      </c>
      <c r="Y7" s="58">
        <f t="shared" si="7"/>
        <v>0</v>
      </c>
      <c r="Z7" s="49" t="str">
        <f t="shared" si="8"/>
        <v>OK</v>
      </c>
      <c r="AA7" s="63"/>
      <c r="AB7" s="94" t="s">
        <v>119</v>
      </c>
      <c r="AE7" s="97" t="str">
        <f t="shared" ref="AE7:AE70" si="9">IF((AC7+AD7)=0,"",AC7+AD7)</f>
        <v/>
      </c>
    </row>
    <row r="8" spans="1:34" ht="15.75">
      <c r="A8" s="62" t="str">
        <f t="shared" si="0"/>
        <v>LOC-003</v>
      </c>
      <c r="B8" s="43" t="s">
        <v>88</v>
      </c>
      <c r="C8" s="45">
        <v>46276</v>
      </c>
      <c r="D8" s="45">
        <v>46280</v>
      </c>
      <c r="E8" s="50">
        <f t="shared" si="1"/>
        <v>4</v>
      </c>
      <c r="F8" s="47">
        <v>0</v>
      </c>
      <c r="G8" s="51">
        <f t="shared" si="2"/>
        <v>0</v>
      </c>
      <c r="H8" s="43" t="s">
        <v>124</v>
      </c>
      <c r="I8" s="43" t="s">
        <v>106</v>
      </c>
      <c r="J8" s="54" t="s">
        <v>90</v>
      </c>
      <c r="K8" s="47"/>
      <c r="L8" s="47"/>
      <c r="M8" s="47"/>
      <c r="N8" s="47"/>
      <c r="O8" s="47"/>
      <c r="P8" s="47"/>
      <c r="Q8" s="47"/>
      <c r="R8" s="47"/>
      <c r="S8" s="58">
        <f>IF(B8="",0,SUM(K8:R8)+SUMIFS('DESPESAS CASA'!$D$6:$D$305,'DESPESAS CASA'!$E$6:$E$305,A8))-P8</f>
        <v>0</v>
      </c>
      <c r="T8" s="51">
        <f t="shared" si="3"/>
        <v>0</v>
      </c>
      <c r="U8" s="51">
        <f t="shared" si="4"/>
        <v>0</v>
      </c>
      <c r="V8" s="51">
        <f t="shared" si="5"/>
        <v>0</v>
      </c>
      <c r="W8" s="52">
        <f t="shared" si="6"/>
        <v>0</v>
      </c>
      <c r="X8" s="47"/>
      <c r="Y8" s="58">
        <f t="shared" si="7"/>
        <v>0</v>
      </c>
      <c r="Z8" s="49" t="str">
        <f t="shared" si="8"/>
        <v>OK</v>
      </c>
      <c r="AA8" s="63"/>
      <c r="AB8" s="94" t="s">
        <v>119</v>
      </c>
      <c r="AC8">
        <v>4</v>
      </c>
      <c r="AD8">
        <v>0</v>
      </c>
      <c r="AE8" s="97">
        <f t="shared" si="9"/>
        <v>4</v>
      </c>
    </row>
    <row r="9" spans="1:34" ht="15.75">
      <c r="A9" s="62" t="str">
        <f t="shared" si="0"/>
        <v>LOC-004</v>
      </c>
      <c r="B9" s="43" t="s">
        <v>121</v>
      </c>
      <c r="C9" s="45">
        <v>46384</v>
      </c>
      <c r="D9" s="45">
        <v>46385</v>
      </c>
      <c r="E9" s="50">
        <f t="shared" si="1"/>
        <v>1</v>
      </c>
      <c r="F9" s="47">
        <v>0</v>
      </c>
      <c r="G9" s="51">
        <f t="shared" si="2"/>
        <v>0</v>
      </c>
      <c r="H9" s="43" t="s">
        <v>108</v>
      </c>
      <c r="I9" s="43" t="s">
        <v>82</v>
      </c>
      <c r="J9" s="54" t="s">
        <v>90</v>
      </c>
      <c r="K9" s="47"/>
      <c r="L9" s="47"/>
      <c r="M9" s="47"/>
      <c r="N9" s="47"/>
      <c r="O9" s="47"/>
      <c r="P9" s="47"/>
      <c r="Q9" s="47"/>
      <c r="R9" s="47"/>
      <c r="S9" s="58">
        <f>IF(B9="",0,SUM(K9:R9)+SUMIFS('DESPESAS CASA'!$D$6:$D$305,'DESPESAS CASA'!$E$6:$E$305,A9))-P9</f>
        <v>0</v>
      </c>
      <c r="T9" s="51">
        <f t="shared" si="3"/>
        <v>0</v>
      </c>
      <c r="U9" s="51">
        <f t="shared" si="4"/>
        <v>0</v>
      </c>
      <c r="V9" s="51">
        <f t="shared" si="5"/>
        <v>0</v>
      </c>
      <c r="W9" s="52">
        <f t="shared" si="6"/>
        <v>0</v>
      </c>
      <c r="X9" s="47"/>
      <c r="Y9" s="58">
        <f t="shared" si="7"/>
        <v>0</v>
      </c>
      <c r="Z9" s="49" t="str">
        <f t="shared" si="8"/>
        <v>OK</v>
      </c>
      <c r="AA9" s="63"/>
      <c r="AB9" s="94" t="s">
        <v>120</v>
      </c>
      <c r="AC9">
        <v>5</v>
      </c>
      <c r="AE9" s="97">
        <f t="shared" si="9"/>
        <v>5</v>
      </c>
    </row>
    <row r="10" spans="1:34" ht="15.75">
      <c r="A10" s="62" t="str">
        <f t="shared" si="0"/>
        <v>LOC-005</v>
      </c>
      <c r="B10" s="43" t="s">
        <v>122</v>
      </c>
      <c r="C10" s="45">
        <v>46385</v>
      </c>
      <c r="D10" s="45">
        <v>46391</v>
      </c>
      <c r="E10" s="50">
        <f t="shared" si="1"/>
        <v>6</v>
      </c>
      <c r="F10" s="47">
        <v>1100</v>
      </c>
      <c r="G10" s="51">
        <f t="shared" si="2"/>
        <v>6600</v>
      </c>
      <c r="H10" s="43" t="s">
        <v>108</v>
      </c>
      <c r="I10" s="43" t="s">
        <v>82</v>
      </c>
      <c r="J10" s="54" t="s">
        <v>83</v>
      </c>
      <c r="K10" s="47"/>
      <c r="L10" s="47"/>
      <c r="M10" s="47"/>
      <c r="N10" s="47"/>
      <c r="O10" s="47"/>
      <c r="P10" s="47"/>
      <c r="Q10" s="47"/>
      <c r="R10" s="47"/>
      <c r="S10" s="58">
        <f>IF(B10="",0,SUM(K10:R10)+SUMIFS('DESPESAS CASA'!$D$6:$D$305,'DESPESAS CASA'!$E$6:$E$305,A10))-P10</f>
        <v>0</v>
      </c>
      <c r="T10" s="51">
        <f t="shared" si="3"/>
        <v>0</v>
      </c>
      <c r="U10" s="51">
        <f t="shared" si="4"/>
        <v>6600</v>
      </c>
      <c r="V10" s="51">
        <f t="shared" si="5"/>
        <v>1100</v>
      </c>
      <c r="W10" s="52">
        <f t="shared" si="6"/>
        <v>1</v>
      </c>
      <c r="X10" s="47">
        <v>3925</v>
      </c>
      <c r="Y10" s="58">
        <f t="shared" si="7"/>
        <v>2675</v>
      </c>
      <c r="Z10" s="49" t="str">
        <f t="shared" si="8"/>
        <v>OK</v>
      </c>
      <c r="AA10" s="63"/>
      <c r="AB10" s="94" t="s">
        <v>120</v>
      </c>
      <c r="AC10">
        <v>5</v>
      </c>
      <c r="AE10" s="97">
        <f t="shared" si="9"/>
        <v>5</v>
      </c>
    </row>
    <row r="11" spans="1:34" ht="15.75">
      <c r="A11" s="62" t="str">
        <f t="shared" si="0"/>
        <v>LOC-006</v>
      </c>
      <c r="B11" s="43" t="s">
        <v>122</v>
      </c>
      <c r="C11" s="45">
        <v>46391</v>
      </c>
      <c r="D11" s="45">
        <v>46401</v>
      </c>
      <c r="E11" s="50">
        <f t="shared" si="1"/>
        <v>10</v>
      </c>
      <c r="F11" s="47">
        <v>910</v>
      </c>
      <c r="G11" s="51">
        <f t="shared" si="2"/>
        <v>9100</v>
      </c>
      <c r="H11" s="43" t="s">
        <v>124</v>
      </c>
      <c r="I11" s="43" t="s">
        <v>82</v>
      </c>
      <c r="J11" s="54" t="s">
        <v>83</v>
      </c>
      <c r="K11" s="47"/>
      <c r="L11" s="47"/>
      <c r="M11" s="47"/>
      <c r="N11" s="47"/>
      <c r="O11" s="47"/>
      <c r="P11" s="47"/>
      <c r="Q11" s="47"/>
      <c r="R11" s="47"/>
      <c r="S11" s="58">
        <f>IF(B11="",0,SUM(K11:R11)+SUMIFS('DESPESAS CASA'!$D$6:$D$305,'DESPESAS CASA'!$E$6:$E$305,A11))-P11</f>
        <v>0</v>
      </c>
      <c r="T11" s="51">
        <f t="shared" si="3"/>
        <v>0</v>
      </c>
      <c r="U11" s="51">
        <f t="shared" si="4"/>
        <v>9100</v>
      </c>
      <c r="V11" s="51">
        <f t="shared" si="5"/>
        <v>910</v>
      </c>
      <c r="W11" s="52">
        <f t="shared" si="6"/>
        <v>1</v>
      </c>
      <c r="X11" s="47"/>
      <c r="Y11" s="58">
        <f t="shared" si="7"/>
        <v>9100</v>
      </c>
      <c r="Z11" s="49" t="str">
        <f t="shared" si="8"/>
        <v>OK</v>
      </c>
      <c r="AA11" s="63"/>
      <c r="AB11" s="94" t="s">
        <v>119</v>
      </c>
      <c r="AC11">
        <v>5</v>
      </c>
      <c r="AE11" s="97">
        <f t="shared" si="9"/>
        <v>5</v>
      </c>
    </row>
    <row r="12" spans="1:34" ht="15.75">
      <c r="A12" s="62" t="str">
        <f t="shared" si="0"/>
        <v>LOC-007</v>
      </c>
      <c r="B12" s="43" t="s">
        <v>125</v>
      </c>
      <c r="C12" s="45">
        <v>46305</v>
      </c>
      <c r="D12" s="45">
        <v>46314</v>
      </c>
      <c r="E12" s="50">
        <f t="shared" si="1"/>
        <v>9</v>
      </c>
      <c r="F12" s="47">
        <f>3874.25/E12</f>
        <v>430.47222222222223</v>
      </c>
      <c r="G12" s="51">
        <f t="shared" si="2"/>
        <v>3874.25</v>
      </c>
      <c r="H12" s="43" t="s">
        <v>86</v>
      </c>
      <c r="I12" s="43" t="s">
        <v>82</v>
      </c>
      <c r="J12" s="54" t="s">
        <v>87</v>
      </c>
      <c r="K12" s="47"/>
      <c r="L12" s="47"/>
      <c r="M12" s="47"/>
      <c r="N12" s="47"/>
      <c r="O12" s="47"/>
      <c r="P12" s="47"/>
      <c r="Q12" s="47"/>
      <c r="R12" s="47"/>
      <c r="S12" s="58">
        <f>IF(B12="",0,SUM(K12:R12)+SUMIFS('DESPESAS CASA'!$D$6:$D$305,'DESPESAS CASA'!$E$6:$E$305,A12))-P12</f>
        <v>0</v>
      </c>
      <c r="T12" s="51">
        <f t="shared" si="3"/>
        <v>0</v>
      </c>
      <c r="U12" s="51">
        <f t="shared" si="4"/>
        <v>3874.25</v>
      </c>
      <c r="V12" s="51">
        <f t="shared" si="5"/>
        <v>430.47222222222223</v>
      </c>
      <c r="W12" s="52">
        <f t="shared" si="6"/>
        <v>1</v>
      </c>
      <c r="X12" s="47">
        <v>3874.25</v>
      </c>
      <c r="Y12" s="58">
        <f t="shared" si="7"/>
        <v>0</v>
      </c>
      <c r="Z12" s="49" t="str">
        <f t="shared" si="8"/>
        <v>OK</v>
      </c>
      <c r="AA12" s="63"/>
      <c r="AB12" s="94" t="s">
        <v>119</v>
      </c>
      <c r="AC12">
        <v>2</v>
      </c>
      <c r="AE12" s="97">
        <f t="shared" si="9"/>
        <v>2</v>
      </c>
    </row>
    <row r="13" spans="1:34" ht="15.75">
      <c r="A13" s="62" t="str">
        <f t="shared" si="0"/>
        <v>LOC-008</v>
      </c>
      <c r="B13" s="43" t="s">
        <v>126</v>
      </c>
      <c r="C13" s="45">
        <v>46329</v>
      </c>
      <c r="D13" s="45">
        <v>46344</v>
      </c>
      <c r="E13" s="50">
        <f t="shared" si="1"/>
        <v>15</v>
      </c>
      <c r="F13" s="47">
        <f>6396.57/E13</f>
        <v>426.43799999999999</v>
      </c>
      <c r="G13" s="51">
        <f t="shared" si="2"/>
        <v>6396.57</v>
      </c>
      <c r="H13" s="43" t="s">
        <v>124</v>
      </c>
      <c r="I13" s="43" t="s">
        <v>82</v>
      </c>
      <c r="J13" s="54" t="s">
        <v>87</v>
      </c>
      <c r="K13" s="47"/>
      <c r="L13" s="47"/>
      <c r="M13" s="47"/>
      <c r="N13" s="47"/>
      <c r="O13" s="47"/>
      <c r="P13" s="47"/>
      <c r="Q13" s="47"/>
      <c r="R13" s="47"/>
      <c r="S13" s="58">
        <f>IF(B13="",0,SUM(K13:R13)+SUMIFS('DESPESAS CASA'!$D$6:$D$305,'DESPESAS CASA'!$E$6:$E$305,A13))-P13</f>
        <v>0</v>
      </c>
      <c r="T13" s="51">
        <f t="shared" si="3"/>
        <v>0</v>
      </c>
      <c r="U13" s="51">
        <f t="shared" si="4"/>
        <v>6396.57</v>
      </c>
      <c r="V13" s="51">
        <f t="shared" si="5"/>
        <v>426.43799999999999</v>
      </c>
      <c r="W13" s="52">
        <f t="shared" si="6"/>
        <v>1</v>
      </c>
      <c r="X13" s="47"/>
      <c r="Y13" s="58">
        <f t="shared" si="7"/>
        <v>6396.57</v>
      </c>
      <c r="Z13" s="49" t="str">
        <f t="shared" si="8"/>
        <v>OK</v>
      </c>
      <c r="AA13" s="63"/>
      <c r="AB13" s="94" t="s">
        <v>119</v>
      </c>
      <c r="AC13">
        <v>1</v>
      </c>
      <c r="AD13">
        <v>1</v>
      </c>
      <c r="AE13" s="97">
        <f t="shared" si="9"/>
        <v>2</v>
      </c>
    </row>
    <row r="14" spans="1:34" ht="15.75">
      <c r="A14" s="62" t="str">
        <f t="shared" si="0"/>
        <v>LOC-009</v>
      </c>
      <c r="B14" s="43" t="s">
        <v>127</v>
      </c>
      <c r="C14" s="45">
        <v>46325</v>
      </c>
      <c r="D14" s="45">
        <v>46329</v>
      </c>
      <c r="E14" s="50">
        <f t="shared" si="1"/>
        <v>4</v>
      </c>
      <c r="F14" s="47">
        <f>2070.85/E14</f>
        <v>517.71249999999998</v>
      </c>
      <c r="G14" s="51">
        <f t="shared" si="2"/>
        <v>2070.85</v>
      </c>
      <c r="H14" s="43" t="s">
        <v>86</v>
      </c>
      <c r="I14" s="43" t="s">
        <v>82</v>
      </c>
      <c r="J14" s="54" t="s">
        <v>87</v>
      </c>
      <c r="K14" s="47"/>
      <c r="L14" s="47"/>
      <c r="M14" s="47"/>
      <c r="N14" s="47"/>
      <c r="O14" s="47"/>
      <c r="P14" s="47"/>
      <c r="Q14" s="47"/>
      <c r="R14" s="47"/>
      <c r="S14" s="58">
        <f>IF(B14="",0,SUM(K14:R14)+SUMIFS('DESPESAS CASA'!$D$6:$D$305,'DESPESAS CASA'!$E$6:$E$305,A14))-P14</f>
        <v>0</v>
      </c>
      <c r="T14" s="51">
        <f t="shared" si="3"/>
        <v>0</v>
      </c>
      <c r="U14" s="51">
        <f t="shared" si="4"/>
        <v>2070.85</v>
      </c>
      <c r="V14" s="51">
        <f t="shared" si="5"/>
        <v>517.71249999999998</v>
      </c>
      <c r="W14" s="52">
        <f t="shared" si="6"/>
        <v>1</v>
      </c>
      <c r="X14" s="47"/>
      <c r="Y14" s="58">
        <f t="shared" si="7"/>
        <v>2070.85</v>
      </c>
      <c r="Z14" s="49" t="str">
        <f t="shared" si="8"/>
        <v>OK</v>
      </c>
      <c r="AA14" s="63"/>
      <c r="AB14" s="94" t="s">
        <v>119</v>
      </c>
      <c r="AC14">
        <v>3</v>
      </c>
      <c r="AD14">
        <v>2</v>
      </c>
      <c r="AE14" s="97">
        <f t="shared" si="9"/>
        <v>5</v>
      </c>
    </row>
    <row r="15" spans="1:34" ht="15.75">
      <c r="A15" s="62" t="str">
        <f t="shared" si="0"/>
        <v>LOC-010</v>
      </c>
      <c r="B15" s="43" t="s">
        <v>128</v>
      </c>
      <c r="C15" s="45">
        <v>46299</v>
      </c>
      <c r="D15" s="45">
        <v>46300</v>
      </c>
      <c r="E15" s="50">
        <f t="shared" si="1"/>
        <v>1</v>
      </c>
      <c r="F15" s="47">
        <v>0</v>
      </c>
      <c r="G15" s="51">
        <f t="shared" si="2"/>
        <v>0</v>
      </c>
      <c r="H15" s="43" t="s">
        <v>89</v>
      </c>
      <c r="I15" s="43" t="s">
        <v>106</v>
      </c>
      <c r="J15" s="54" t="s">
        <v>90</v>
      </c>
      <c r="K15" s="47"/>
      <c r="L15" s="47"/>
      <c r="M15" s="47"/>
      <c r="N15" s="47"/>
      <c r="O15" s="47"/>
      <c r="P15" s="47"/>
      <c r="Q15" s="47"/>
      <c r="R15" s="47"/>
      <c r="S15" s="58">
        <f>IF(B15="",0,SUM(K15:R15)+SUMIFS('DESPESAS CASA'!$D$6:$D$305,'DESPESAS CASA'!$E$6:$E$305,A15))-P15</f>
        <v>0</v>
      </c>
      <c r="T15" s="51">
        <f t="shared" si="3"/>
        <v>0</v>
      </c>
      <c r="U15" s="51">
        <f t="shared" si="4"/>
        <v>0</v>
      </c>
      <c r="V15" s="51">
        <f t="shared" si="5"/>
        <v>0</v>
      </c>
      <c r="W15" s="52">
        <f t="shared" si="6"/>
        <v>0</v>
      </c>
      <c r="X15" s="47"/>
      <c r="Y15" s="58">
        <f t="shared" si="7"/>
        <v>0</v>
      </c>
      <c r="Z15" s="49" t="str">
        <f t="shared" si="8"/>
        <v>OK</v>
      </c>
      <c r="AA15" s="63"/>
      <c r="AB15" s="94" t="s">
        <v>119</v>
      </c>
      <c r="AC15">
        <v>4</v>
      </c>
      <c r="AE15" s="97">
        <f t="shared" si="9"/>
        <v>4</v>
      </c>
    </row>
    <row r="16" spans="1:34" ht="15.75">
      <c r="A16" s="62" t="str">
        <f t="shared" si="0"/>
        <v>LOC-011</v>
      </c>
      <c r="B16" s="43" t="s">
        <v>129</v>
      </c>
      <c r="C16" s="45">
        <v>46372</v>
      </c>
      <c r="D16" s="45">
        <v>46377</v>
      </c>
      <c r="E16" s="50">
        <f t="shared" si="1"/>
        <v>5</v>
      </c>
      <c r="F16" s="47">
        <f>2400/E16</f>
        <v>480</v>
      </c>
      <c r="G16" s="51">
        <f t="shared" si="2"/>
        <v>2400</v>
      </c>
      <c r="H16" s="43" t="s">
        <v>89</v>
      </c>
      <c r="I16" s="43" t="s">
        <v>82</v>
      </c>
      <c r="J16" s="54" t="s">
        <v>87</v>
      </c>
      <c r="K16" s="47"/>
      <c r="L16" s="47"/>
      <c r="M16" s="47"/>
      <c r="N16" s="47"/>
      <c r="O16" s="47"/>
      <c r="P16" s="47"/>
      <c r="Q16" s="47"/>
      <c r="R16" s="47"/>
      <c r="S16" s="58">
        <f>IF(B16="",0,SUM(K16:R16)+SUMIFS('DESPESAS CASA'!$D$6:$D$305,'DESPESAS CASA'!$E$6:$E$305,A16))-P16</f>
        <v>0</v>
      </c>
      <c r="T16" s="51">
        <f t="shared" si="3"/>
        <v>0</v>
      </c>
      <c r="U16" s="51">
        <f t="shared" si="4"/>
        <v>2400</v>
      </c>
      <c r="V16" s="51">
        <f t="shared" si="5"/>
        <v>480</v>
      </c>
      <c r="W16" s="52">
        <f t="shared" si="6"/>
        <v>1</v>
      </c>
      <c r="X16" s="47"/>
      <c r="Y16" s="58">
        <f t="shared" si="7"/>
        <v>2400</v>
      </c>
      <c r="Z16" s="49" t="str">
        <f t="shared" si="8"/>
        <v>OK</v>
      </c>
      <c r="AA16" s="63"/>
      <c r="AB16" s="94" t="s">
        <v>119</v>
      </c>
      <c r="AC16">
        <v>5</v>
      </c>
      <c r="AE16" s="97">
        <f t="shared" si="9"/>
        <v>5</v>
      </c>
    </row>
    <row r="17" spans="1:31" ht="15.75">
      <c r="A17" s="62" t="str">
        <f t="shared" si="0"/>
        <v>LOC-012</v>
      </c>
      <c r="B17" s="43" t="s">
        <v>156</v>
      </c>
      <c r="C17" s="45">
        <v>46402</v>
      </c>
      <c r="D17" s="45">
        <v>46407</v>
      </c>
      <c r="E17" s="50">
        <f t="shared" si="1"/>
        <v>5</v>
      </c>
      <c r="F17" s="47">
        <f>3884/E17</f>
        <v>776.8</v>
      </c>
      <c r="G17" s="51">
        <f t="shared" si="2"/>
        <v>3884</v>
      </c>
      <c r="H17" s="43" t="s">
        <v>89</v>
      </c>
      <c r="I17" s="43" t="s">
        <v>82</v>
      </c>
      <c r="J17" s="54" t="s">
        <v>87</v>
      </c>
      <c r="K17" s="47"/>
      <c r="L17" s="47"/>
      <c r="M17" s="47"/>
      <c r="N17" s="47"/>
      <c r="O17" s="47"/>
      <c r="P17" s="47"/>
      <c r="Q17" s="47"/>
      <c r="R17" s="47"/>
      <c r="S17" s="58">
        <f>IF(B17="",0,SUM(K17:R17)+SUMIFS('DESPESAS CASA'!$D$6:$D$305,'DESPESAS CASA'!$E$6:$E$305,A17))-P17</f>
        <v>0</v>
      </c>
      <c r="T17" s="51">
        <f t="shared" si="3"/>
        <v>0</v>
      </c>
      <c r="U17" s="51">
        <f t="shared" si="4"/>
        <v>3884</v>
      </c>
      <c r="V17" s="51">
        <f t="shared" si="5"/>
        <v>776.8</v>
      </c>
      <c r="W17" s="52">
        <f t="shared" si="6"/>
        <v>1</v>
      </c>
      <c r="X17" s="47"/>
      <c r="Y17" s="58">
        <f t="shared" si="7"/>
        <v>3884</v>
      </c>
      <c r="Z17" s="49" t="str">
        <f t="shared" si="8"/>
        <v>OK</v>
      </c>
      <c r="AA17" s="63"/>
      <c r="AB17" s="94"/>
      <c r="AE17" s="97" t="str">
        <f t="shared" si="9"/>
        <v/>
      </c>
    </row>
    <row r="18" spans="1:31" ht="15.75">
      <c r="A18" s="62" t="str">
        <f t="shared" si="0"/>
        <v/>
      </c>
      <c r="B18" s="43"/>
      <c r="C18" s="45"/>
      <c r="D18" s="45"/>
      <c r="E18" s="50">
        <f t="shared" si="1"/>
        <v>0</v>
      </c>
      <c r="F18" s="47"/>
      <c r="G18" s="51">
        <f t="shared" si="2"/>
        <v>0</v>
      </c>
      <c r="H18" s="43"/>
      <c r="I18" s="43"/>
      <c r="J18" s="54"/>
      <c r="K18" s="47"/>
      <c r="L18" s="47"/>
      <c r="M18" s="47"/>
      <c r="N18" s="47"/>
      <c r="O18" s="47"/>
      <c r="P18" s="47"/>
      <c r="Q18" s="47"/>
      <c r="R18" s="47"/>
      <c r="S18" s="58">
        <f>IF(B18="",0,SUM(K18:R18)+SUMIFS('DESPESAS CASA'!$D$6:$D$305,'DESPESAS CASA'!$E$6:$E$305,A18))-P18</f>
        <v>0</v>
      </c>
      <c r="T18" s="51">
        <f t="shared" si="3"/>
        <v>0</v>
      </c>
      <c r="U18" s="51">
        <f t="shared" si="4"/>
        <v>0</v>
      </c>
      <c r="V18" s="51">
        <f t="shared" si="5"/>
        <v>0</v>
      </c>
      <c r="W18" s="52">
        <f t="shared" si="6"/>
        <v>0</v>
      </c>
      <c r="X18" s="47"/>
      <c r="Y18" s="58">
        <f t="shared" si="7"/>
        <v>0</v>
      </c>
      <c r="Z18" s="49" t="str">
        <f t="shared" si="8"/>
        <v/>
      </c>
      <c r="AA18" s="63"/>
      <c r="AB18" s="94"/>
      <c r="AE18" s="97" t="str">
        <f t="shared" si="9"/>
        <v/>
      </c>
    </row>
    <row r="19" spans="1:31" ht="15.75">
      <c r="A19" s="62" t="str">
        <f t="shared" si="0"/>
        <v/>
      </c>
      <c r="B19" s="43"/>
      <c r="C19" s="45"/>
      <c r="D19" s="45"/>
      <c r="E19" s="50">
        <f t="shared" si="1"/>
        <v>0</v>
      </c>
      <c r="F19" s="47"/>
      <c r="G19" s="51">
        <f t="shared" si="2"/>
        <v>0</v>
      </c>
      <c r="H19" s="43"/>
      <c r="I19" s="43"/>
      <c r="J19" s="54"/>
      <c r="K19" s="47"/>
      <c r="L19" s="47"/>
      <c r="M19" s="47"/>
      <c r="N19" s="47"/>
      <c r="O19" s="47"/>
      <c r="P19" s="47"/>
      <c r="Q19" s="47"/>
      <c r="R19" s="47"/>
      <c r="S19" s="58">
        <f>IF(B19="",0,SUM(K19:R19)+SUMIFS('DESPESAS CASA'!$D$6:$D$305,'DESPESAS CASA'!$E$6:$E$305,A19))-P19</f>
        <v>0</v>
      </c>
      <c r="T19" s="51">
        <f t="shared" si="3"/>
        <v>0</v>
      </c>
      <c r="U19" s="51">
        <f t="shared" si="4"/>
        <v>0</v>
      </c>
      <c r="V19" s="51">
        <f t="shared" si="5"/>
        <v>0</v>
      </c>
      <c r="W19" s="52">
        <f t="shared" si="6"/>
        <v>0</v>
      </c>
      <c r="X19" s="47"/>
      <c r="Y19" s="58">
        <f t="shared" si="7"/>
        <v>0</v>
      </c>
      <c r="Z19" s="49" t="str">
        <f t="shared" si="8"/>
        <v/>
      </c>
      <c r="AA19" s="63"/>
      <c r="AB19" s="94"/>
      <c r="AE19" s="97" t="str">
        <f t="shared" si="9"/>
        <v/>
      </c>
    </row>
    <row r="20" spans="1:31" ht="15.75">
      <c r="A20" s="62" t="str">
        <f t="shared" si="0"/>
        <v/>
      </c>
      <c r="B20" s="43"/>
      <c r="C20" s="45"/>
      <c r="D20" s="45"/>
      <c r="E20" s="50">
        <f t="shared" si="1"/>
        <v>0</v>
      </c>
      <c r="F20" s="47"/>
      <c r="G20" s="51">
        <f t="shared" si="2"/>
        <v>0</v>
      </c>
      <c r="H20" s="43"/>
      <c r="I20" s="43"/>
      <c r="J20" s="54"/>
      <c r="K20" s="47"/>
      <c r="L20" s="47"/>
      <c r="M20" s="47"/>
      <c r="N20" s="47"/>
      <c r="O20" s="47"/>
      <c r="P20" s="47"/>
      <c r="Q20" s="47"/>
      <c r="R20" s="47"/>
      <c r="S20" s="58">
        <f>IF(B20="",0,SUM(K20:R20)+SUMIFS('DESPESAS CASA'!$D$6:$D$305,'DESPESAS CASA'!$E$6:$E$305,A20))-P20</f>
        <v>0</v>
      </c>
      <c r="T20" s="51">
        <f t="shared" si="3"/>
        <v>0</v>
      </c>
      <c r="U20" s="51">
        <f t="shared" si="4"/>
        <v>0</v>
      </c>
      <c r="V20" s="51">
        <f t="shared" si="5"/>
        <v>0</v>
      </c>
      <c r="W20" s="52">
        <f t="shared" si="6"/>
        <v>0</v>
      </c>
      <c r="X20" s="47"/>
      <c r="Y20" s="58">
        <f t="shared" si="7"/>
        <v>0</v>
      </c>
      <c r="Z20" s="49" t="str">
        <f t="shared" si="8"/>
        <v/>
      </c>
      <c r="AA20" s="63"/>
      <c r="AB20" s="94"/>
      <c r="AE20" s="97" t="str">
        <f t="shared" si="9"/>
        <v/>
      </c>
    </row>
    <row r="21" spans="1:31" ht="15.75">
      <c r="A21" s="62" t="str">
        <f t="shared" si="0"/>
        <v/>
      </c>
      <c r="B21" s="43"/>
      <c r="C21" s="45"/>
      <c r="D21" s="45"/>
      <c r="E21" s="50">
        <f t="shared" si="1"/>
        <v>0</v>
      </c>
      <c r="F21" s="47"/>
      <c r="G21" s="51">
        <f t="shared" si="2"/>
        <v>0</v>
      </c>
      <c r="H21" s="43"/>
      <c r="I21" s="43"/>
      <c r="J21" s="54"/>
      <c r="K21" s="47"/>
      <c r="L21" s="47"/>
      <c r="M21" s="47"/>
      <c r="N21" s="47"/>
      <c r="O21" s="47"/>
      <c r="P21" s="47"/>
      <c r="Q21" s="47"/>
      <c r="R21" s="47"/>
      <c r="S21" s="58">
        <f>IF(B21="",0,SUM(K21:R21)+SUMIFS('DESPESAS CASA'!$D$6:$D$305,'DESPESAS CASA'!$E$6:$E$305,A21))-P21</f>
        <v>0</v>
      </c>
      <c r="T21" s="51">
        <f t="shared" si="3"/>
        <v>0</v>
      </c>
      <c r="U21" s="51">
        <f t="shared" si="4"/>
        <v>0</v>
      </c>
      <c r="V21" s="51">
        <f t="shared" si="5"/>
        <v>0</v>
      </c>
      <c r="W21" s="52">
        <f t="shared" si="6"/>
        <v>0</v>
      </c>
      <c r="X21" s="47"/>
      <c r="Y21" s="58">
        <f t="shared" si="7"/>
        <v>0</v>
      </c>
      <c r="Z21" s="49" t="str">
        <f t="shared" si="8"/>
        <v/>
      </c>
      <c r="AA21" s="63"/>
      <c r="AB21" s="94"/>
      <c r="AE21" s="97" t="str">
        <f t="shared" si="9"/>
        <v/>
      </c>
    </row>
    <row r="22" spans="1:31" ht="15.75">
      <c r="A22" s="62" t="str">
        <f t="shared" si="0"/>
        <v/>
      </c>
      <c r="B22" s="43"/>
      <c r="C22" s="45"/>
      <c r="D22" s="45"/>
      <c r="E22" s="50">
        <f t="shared" si="1"/>
        <v>0</v>
      </c>
      <c r="F22" s="47"/>
      <c r="G22" s="51">
        <f t="shared" si="2"/>
        <v>0</v>
      </c>
      <c r="H22" s="43"/>
      <c r="I22" s="43"/>
      <c r="J22" s="54"/>
      <c r="K22" s="47"/>
      <c r="L22" s="47"/>
      <c r="M22" s="47"/>
      <c r="N22" s="47"/>
      <c r="O22" s="47"/>
      <c r="P22" s="47"/>
      <c r="Q22" s="47"/>
      <c r="R22" s="47"/>
      <c r="S22" s="58">
        <f>IF(B22="",0,SUM(K22:R22)+SUMIFS('DESPESAS CASA'!$D$6:$D$305,'DESPESAS CASA'!$E$6:$E$305,A22))-P22</f>
        <v>0</v>
      </c>
      <c r="T22" s="51">
        <f t="shared" si="3"/>
        <v>0</v>
      </c>
      <c r="U22" s="51">
        <f t="shared" si="4"/>
        <v>0</v>
      </c>
      <c r="V22" s="51">
        <f t="shared" si="5"/>
        <v>0</v>
      </c>
      <c r="W22" s="52">
        <f t="shared" si="6"/>
        <v>0</v>
      </c>
      <c r="X22" s="47"/>
      <c r="Y22" s="58">
        <f t="shared" si="7"/>
        <v>0</v>
      </c>
      <c r="Z22" s="49" t="str">
        <f t="shared" si="8"/>
        <v/>
      </c>
      <c r="AA22" s="63"/>
      <c r="AB22" s="94"/>
      <c r="AE22" s="97" t="str">
        <f t="shared" si="9"/>
        <v/>
      </c>
    </row>
    <row r="23" spans="1:31" ht="15.75">
      <c r="A23" s="62" t="str">
        <f t="shared" si="0"/>
        <v/>
      </c>
      <c r="B23" s="43"/>
      <c r="C23" s="45"/>
      <c r="D23" s="45"/>
      <c r="E23" s="50">
        <f t="shared" si="1"/>
        <v>0</v>
      </c>
      <c r="F23" s="47"/>
      <c r="G23" s="51">
        <f t="shared" si="2"/>
        <v>0</v>
      </c>
      <c r="H23" s="43"/>
      <c r="I23" s="43"/>
      <c r="J23" s="54"/>
      <c r="K23" s="47"/>
      <c r="L23" s="47"/>
      <c r="M23" s="47"/>
      <c r="N23" s="47"/>
      <c r="O23" s="47"/>
      <c r="P23" s="47"/>
      <c r="Q23" s="47"/>
      <c r="R23" s="47"/>
      <c r="S23" s="58">
        <f>IF(B23="",0,SUM(K23:R23)+SUMIFS('DESPESAS CASA'!$D$6:$D$305,'DESPESAS CASA'!$E$6:$E$305,A23))-P23</f>
        <v>0</v>
      </c>
      <c r="T23" s="51">
        <f t="shared" si="3"/>
        <v>0</v>
      </c>
      <c r="U23" s="51">
        <f t="shared" si="4"/>
        <v>0</v>
      </c>
      <c r="V23" s="51">
        <f t="shared" si="5"/>
        <v>0</v>
      </c>
      <c r="W23" s="52">
        <f t="shared" si="6"/>
        <v>0</v>
      </c>
      <c r="X23" s="47"/>
      <c r="Y23" s="58">
        <f t="shared" si="7"/>
        <v>0</v>
      </c>
      <c r="Z23" s="49" t="str">
        <f t="shared" si="8"/>
        <v/>
      </c>
      <c r="AA23" s="63"/>
      <c r="AB23" s="94"/>
      <c r="AE23" s="97" t="str">
        <f t="shared" si="9"/>
        <v/>
      </c>
    </row>
    <row r="24" spans="1:31" ht="15.75">
      <c r="A24" s="62" t="str">
        <f t="shared" si="0"/>
        <v/>
      </c>
      <c r="B24" s="43"/>
      <c r="C24" s="45"/>
      <c r="D24" s="45"/>
      <c r="E24" s="50">
        <f t="shared" si="1"/>
        <v>0</v>
      </c>
      <c r="F24" s="47"/>
      <c r="G24" s="51">
        <f t="shared" si="2"/>
        <v>0</v>
      </c>
      <c r="H24" s="43"/>
      <c r="I24" s="43"/>
      <c r="J24" s="54"/>
      <c r="K24" s="47"/>
      <c r="L24" s="47"/>
      <c r="M24" s="47"/>
      <c r="N24" s="47"/>
      <c r="O24" s="47"/>
      <c r="P24" s="47"/>
      <c r="Q24" s="47"/>
      <c r="R24" s="47"/>
      <c r="S24" s="58">
        <f>IF(B24="",0,SUM(K24:R24)+SUMIFS('DESPESAS CASA'!$D$6:$D$305,'DESPESAS CASA'!$E$6:$E$305,A24))-P24</f>
        <v>0</v>
      </c>
      <c r="T24" s="51">
        <f t="shared" si="3"/>
        <v>0</v>
      </c>
      <c r="U24" s="51">
        <f t="shared" si="4"/>
        <v>0</v>
      </c>
      <c r="V24" s="51">
        <f t="shared" si="5"/>
        <v>0</v>
      </c>
      <c r="W24" s="52">
        <f t="shared" si="6"/>
        <v>0</v>
      </c>
      <c r="X24" s="47"/>
      <c r="Y24" s="58">
        <f t="shared" si="7"/>
        <v>0</v>
      </c>
      <c r="Z24" s="49" t="str">
        <f t="shared" si="8"/>
        <v/>
      </c>
      <c r="AA24" s="63"/>
      <c r="AB24" s="94"/>
      <c r="AE24" s="97" t="str">
        <f t="shared" si="9"/>
        <v/>
      </c>
    </row>
    <row r="25" spans="1:31" ht="15.75">
      <c r="A25" s="62" t="str">
        <f t="shared" si="0"/>
        <v/>
      </c>
      <c r="B25" s="43"/>
      <c r="C25" s="45"/>
      <c r="D25" s="45"/>
      <c r="E25" s="50">
        <f t="shared" si="1"/>
        <v>0</v>
      </c>
      <c r="F25" s="47"/>
      <c r="G25" s="51">
        <f t="shared" si="2"/>
        <v>0</v>
      </c>
      <c r="H25" s="43"/>
      <c r="I25" s="43"/>
      <c r="J25" s="54"/>
      <c r="K25" s="47"/>
      <c r="L25" s="47"/>
      <c r="M25" s="47"/>
      <c r="N25" s="47"/>
      <c r="O25" s="47"/>
      <c r="P25" s="47"/>
      <c r="Q25" s="47"/>
      <c r="R25" s="47"/>
      <c r="S25" s="58">
        <f>IF(B25="",0,SUM(K25:R25)+SUMIFS('DESPESAS CASA'!$D$6:$D$305,'DESPESAS CASA'!$E$6:$E$305,A25))-P25</f>
        <v>0</v>
      </c>
      <c r="T25" s="51">
        <f t="shared" si="3"/>
        <v>0</v>
      </c>
      <c r="U25" s="51">
        <f t="shared" si="4"/>
        <v>0</v>
      </c>
      <c r="V25" s="51">
        <f t="shared" si="5"/>
        <v>0</v>
      </c>
      <c r="W25" s="52">
        <f t="shared" si="6"/>
        <v>0</v>
      </c>
      <c r="X25" s="47"/>
      <c r="Y25" s="58">
        <f t="shared" si="7"/>
        <v>0</v>
      </c>
      <c r="Z25" s="49" t="str">
        <f t="shared" si="8"/>
        <v/>
      </c>
      <c r="AA25" s="63"/>
      <c r="AB25" s="94"/>
      <c r="AE25" s="97" t="str">
        <f t="shared" si="9"/>
        <v/>
      </c>
    </row>
    <row r="26" spans="1:31" ht="15.75">
      <c r="A26" s="62" t="str">
        <f t="shared" si="0"/>
        <v/>
      </c>
      <c r="B26" s="43"/>
      <c r="C26" s="45"/>
      <c r="D26" s="45"/>
      <c r="E26" s="50">
        <f t="shared" si="1"/>
        <v>0</v>
      </c>
      <c r="F26" s="47"/>
      <c r="G26" s="51">
        <f t="shared" si="2"/>
        <v>0</v>
      </c>
      <c r="H26" s="43"/>
      <c r="I26" s="43"/>
      <c r="J26" s="54"/>
      <c r="K26" s="47"/>
      <c r="L26" s="47"/>
      <c r="M26" s="47"/>
      <c r="N26" s="47"/>
      <c r="O26" s="47"/>
      <c r="P26" s="47"/>
      <c r="Q26" s="47"/>
      <c r="R26" s="47"/>
      <c r="S26" s="58">
        <f>IF(B26="",0,SUM(K26:R26)+SUMIFS('DESPESAS CASA'!$D$6:$D$305,'DESPESAS CASA'!$E$6:$E$305,A26))-P26</f>
        <v>0</v>
      </c>
      <c r="T26" s="51">
        <f t="shared" si="3"/>
        <v>0</v>
      </c>
      <c r="U26" s="51">
        <f t="shared" si="4"/>
        <v>0</v>
      </c>
      <c r="V26" s="51">
        <f t="shared" si="5"/>
        <v>0</v>
      </c>
      <c r="W26" s="52">
        <f t="shared" si="6"/>
        <v>0</v>
      </c>
      <c r="X26" s="47"/>
      <c r="Y26" s="58">
        <f t="shared" si="7"/>
        <v>0</v>
      </c>
      <c r="Z26" s="49" t="str">
        <f t="shared" si="8"/>
        <v/>
      </c>
      <c r="AA26" s="63"/>
      <c r="AB26" s="94"/>
      <c r="AE26" s="97" t="str">
        <f t="shared" si="9"/>
        <v/>
      </c>
    </row>
    <row r="27" spans="1:31" ht="15.75">
      <c r="A27" s="62" t="str">
        <f t="shared" si="0"/>
        <v/>
      </c>
      <c r="B27" s="43"/>
      <c r="C27" s="45"/>
      <c r="D27" s="45"/>
      <c r="E27" s="50">
        <f t="shared" si="1"/>
        <v>0</v>
      </c>
      <c r="F27" s="47"/>
      <c r="G27" s="51">
        <f t="shared" si="2"/>
        <v>0</v>
      </c>
      <c r="H27" s="43"/>
      <c r="I27" s="43"/>
      <c r="J27" s="54"/>
      <c r="K27" s="47"/>
      <c r="L27" s="47"/>
      <c r="M27" s="47"/>
      <c r="N27" s="47"/>
      <c r="O27" s="47"/>
      <c r="P27" s="47"/>
      <c r="Q27" s="47"/>
      <c r="R27" s="47"/>
      <c r="S27" s="58">
        <f>IF(B27="",0,SUM(K27:R27)+SUMIFS('DESPESAS CASA'!$D$6:$D$305,'DESPESAS CASA'!$E$6:$E$305,A27))-P27</f>
        <v>0</v>
      </c>
      <c r="T27" s="51">
        <f t="shared" si="3"/>
        <v>0</v>
      </c>
      <c r="U27" s="51">
        <f t="shared" si="4"/>
        <v>0</v>
      </c>
      <c r="V27" s="51">
        <f t="shared" si="5"/>
        <v>0</v>
      </c>
      <c r="W27" s="52">
        <f t="shared" si="6"/>
        <v>0</v>
      </c>
      <c r="X27" s="47"/>
      <c r="Y27" s="58">
        <f t="shared" si="7"/>
        <v>0</v>
      </c>
      <c r="Z27" s="49" t="str">
        <f t="shared" si="8"/>
        <v/>
      </c>
      <c r="AA27" s="63"/>
      <c r="AB27" s="94"/>
      <c r="AE27" s="97" t="str">
        <f t="shared" si="9"/>
        <v/>
      </c>
    </row>
    <row r="28" spans="1:31" ht="15.75">
      <c r="A28" s="62" t="str">
        <f t="shared" si="0"/>
        <v/>
      </c>
      <c r="B28" s="43"/>
      <c r="C28" s="45"/>
      <c r="D28" s="45"/>
      <c r="E28" s="50">
        <f t="shared" si="1"/>
        <v>0</v>
      </c>
      <c r="F28" s="47"/>
      <c r="G28" s="51">
        <f t="shared" si="2"/>
        <v>0</v>
      </c>
      <c r="H28" s="43"/>
      <c r="I28" s="43"/>
      <c r="J28" s="54"/>
      <c r="K28" s="47"/>
      <c r="L28" s="47"/>
      <c r="M28" s="47"/>
      <c r="N28" s="47"/>
      <c r="O28" s="47"/>
      <c r="P28" s="47"/>
      <c r="Q28" s="47"/>
      <c r="R28" s="47"/>
      <c r="S28" s="58">
        <f>IF(B28="",0,SUM(K28:R28)+SUMIFS('DESPESAS CASA'!$D$6:$D$305,'DESPESAS CASA'!$E$6:$E$305,A28))-P28</f>
        <v>0</v>
      </c>
      <c r="T28" s="51">
        <f t="shared" si="3"/>
        <v>0</v>
      </c>
      <c r="U28" s="51">
        <f t="shared" si="4"/>
        <v>0</v>
      </c>
      <c r="V28" s="51">
        <f t="shared" si="5"/>
        <v>0</v>
      </c>
      <c r="W28" s="52">
        <f t="shared" si="6"/>
        <v>0</v>
      </c>
      <c r="X28" s="47"/>
      <c r="Y28" s="58">
        <f t="shared" si="7"/>
        <v>0</v>
      </c>
      <c r="Z28" s="49" t="str">
        <f t="shared" si="8"/>
        <v/>
      </c>
      <c r="AA28" s="63"/>
      <c r="AB28" s="94"/>
      <c r="AE28" s="97" t="str">
        <f t="shared" si="9"/>
        <v/>
      </c>
    </row>
    <row r="29" spans="1:31" ht="15.75">
      <c r="A29" s="62" t="str">
        <f t="shared" si="0"/>
        <v/>
      </c>
      <c r="B29" s="43"/>
      <c r="C29" s="45"/>
      <c r="D29" s="45"/>
      <c r="E29" s="50">
        <f t="shared" si="1"/>
        <v>0</v>
      </c>
      <c r="F29" s="47"/>
      <c r="G29" s="51">
        <f t="shared" si="2"/>
        <v>0</v>
      </c>
      <c r="H29" s="43"/>
      <c r="I29" s="43"/>
      <c r="J29" s="54"/>
      <c r="K29" s="47"/>
      <c r="L29" s="47"/>
      <c r="M29" s="47"/>
      <c r="N29" s="47"/>
      <c r="O29" s="47"/>
      <c r="P29" s="47"/>
      <c r="Q29" s="47"/>
      <c r="R29" s="47"/>
      <c r="S29" s="58">
        <f>IF(B29="",0,SUM(K29:R29)+SUMIFS('DESPESAS CASA'!$D$6:$D$305,'DESPESAS CASA'!$E$6:$E$305,A29))-P29</f>
        <v>0</v>
      </c>
      <c r="T29" s="51">
        <f t="shared" si="3"/>
        <v>0</v>
      </c>
      <c r="U29" s="51">
        <f t="shared" si="4"/>
        <v>0</v>
      </c>
      <c r="V29" s="51">
        <f t="shared" si="5"/>
        <v>0</v>
      </c>
      <c r="W29" s="52">
        <f t="shared" si="6"/>
        <v>0</v>
      </c>
      <c r="X29" s="47"/>
      <c r="Y29" s="58">
        <f t="shared" si="7"/>
        <v>0</v>
      </c>
      <c r="Z29" s="49" t="str">
        <f t="shared" si="8"/>
        <v/>
      </c>
      <c r="AA29" s="63"/>
      <c r="AB29" s="94"/>
      <c r="AE29" s="97" t="str">
        <f t="shared" si="9"/>
        <v/>
      </c>
    </row>
    <row r="30" spans="1:31" ht="15.75">
      <c r="A30" s="62" t="str">
        <f t="shared" si="0"/>
        <v/>
      </c>
      <c r="B30" s="43"/>
      <c r="C30" s="45"/>
      <c r="D30" s="45"/>
      <c r="E30" s="50">
        <f t="shared" si="1"/>
        <v>0</v>
      </c>
      <c r="F30" s="47"/>
      <c r="G30" s="51">
        <f t="shared" si="2"/>
        <v>0</v>
      </c>
      <c r="H30" s="43"/>
      <c r="I30" s="43"/>
      <c r="J30" s="54"/>
      <c r="K30" s="47"/>
      <c r="L30" s="47"/>
      <c r="M30" s="47"/>
      <c r="N30" s="47"/>
      <c r="O30" s="47"/>
      <c r="P30" s="47"/>
      <c r="Q30" s="47"/>
      <c r="R30" s="47"/>
      <c r="S30" s="58">
        <f>IF(B30="",0,SUM(K30:R30)+SUMIFS('DESPESAS CASA'!$D$6:$D$305,'DESPESAS CASA'!$E$6:$E$305,A30))-P30</f>
        <v>0</v>
      </c>
      <c r="T30" s="51">
        <f t="shared" si="3"/>
        <v>0</v>
      </c>
      <c r="U30" s="51">
        <f t="shared" si="4"/>
        <v>0</v>
      </c>
      <c r="V30" s="51">
        <f t="shared" si="5"/>
        <v>0</v>
      </c>
      <c r="W30" s="52">
        <f t="shared" si="6"/>
        <v>0</v>
      </c>
      <c r="X30" s="47"/>
      <c r="Y30" s="58">
        <f t="shared" si="7"/>
        <v>0</v>
      </c>
      <c r="Z30" s="49" t="str">
        <f t="shared" si="8"/>
        <v/>
      </c>
      <c r="AA30" s="63"/>
      <c r="AB30" s="94"/>
      <c r="AE30" s="97" t="str">
        <f t="shared" si="9"/>
        <v/>
      </c>
    </row>
    <row r="31" spans="1:31" ht="15.75">
      <c r="A31" s="62" t="str">
        <f t="shared" si="0"/>
        <v/>
      </c>
      <c r="B31" s="43"/>
      <c r="C31" s="45"/>
      <c r="D31" s="45"/>
      <c r="E31" s="50">
        <f t="shared" si="1"/>
        <v>0</v>
      </c>
      <c r="F31" s="47"/>
      <c r="G31" s="51">
        <f t="shared" si="2"/>
        <v>0</v>
      </c>
      <c r="H31" s="43"/>
      <c r="I31" s="43"/>
      <c r="J31" s="54"/>
      <c r="K31" s="47"/>
      <c r="L31" s="47"/>
      <c r="M31" s="47"/>
      <c r="N31" s="47"/>
      <c r="O31" s="47"/>
      <c r="P31" s="47"/>
      <c r="Q31" s="47"/>
      <c r="R31" s="47"/>
      <c r="S31" s="58">
        <f>IF(B31="",0,SUM(K31:R31)+SUMIFS('DESPESAS CASA'!$D$6:$D$305,'DESPESAS CASA'!$E$6:$E$305,A31))-P31</f>
        <v>0</v>
      </c>
      <c r="T31" s="51">
        <f t="shared" si="3"/>
        <v>0</v>
      </c>
      <c r="U31" s="51">
        <f t="shared" si="4"/>
        <v>0</v>
      </c>
      <c r="V31" s="51">
        <f t="shared" si="5"/>
        <v>0</v>
      </c>
      <c r="W31" s="52">
        <f t="shared" si="6"/>
        <v>0</v>
      </c>
      <c r="X31" s="47"/>
      <c r="Y31" s="58">
        <f t="shared" si="7"/>
        <v>0</v>
      </c>
      <c r="Z31" s="49" t="str">
        <f t="shared" si="8"/>
        <v/>
      </c>
      <c r="AA31" s="63"/>
      <c r="AB31" s="94"/>
      <c r="AE31" s="97" t="str">
        <f t="shared" si="9"/>
        <v/>
      </c>
    </row>
    <row r="32" spans="1:31" ht="15.75">
      <c r="A32" s="62" t="str">
        <f t="shared" si="0"/>
        <v/>
      </c>
      <c r="B32" s="43"/>
      <c r="C32" s="45"/>
      <c r="D32" s="45"/>
      <c r="E32" s="50">
        <f t="shared" si="1"/>
        <v>0</v>
      </c>
      <c r="F32" s="47"/>
      <c r="G32" s="51">
        <f t="shared" si="2"/>
        <v>0</v>
      </c>
      <c r="H32" s="43"/>
      <c r="I32" s="43"/>
      <c r="J32" s="54"/>
      <c r="K32" s="47"/>
      <c r="L32" s="47"/>
      <c r="M32" s="47"/>
      <c r="N32" s="47"/>
      <c r="O32" s="47"/>
      <c r="P32" s="47"/>
      <c r="Q32" s="47"/>
      <c r="R32" s="47"/>
      <c r="S32" s="58">
        <f>IF(B32="",0,SUM(K32:R32)+SUMIFS('DESPESAS CASA'!$D$6:$D$305,'DESPESAS CASA'!$E$6:$E$305,A32))-P32</f>
        <v>0</v>
      </c>
      <c r="T32" s="51">
        <f t="shared" si="3"/>
        <v>0</v>
      </c>
      <c r="U32" s="51">
        <f t="shared" si="4"/>
        <v>0</v>
      </c>
      <c r="V32" s="51">
        <f t="shared" si="5"/>
        <v>0</v>
      </c>
      <c r="W32" s="52">
        <f t="shared" si="6"/>
        <v>0</v>
      </c>
      <c r="X32" s="47"/>
      <c r="Y32" s="58">
        <f t="shared" si="7"/>
        <v>0</v>
      </c>
      <c r="Z32" s="49" t="str">
        <f t="shared" si="8"/>
        <v/>
      </c>
      <c r="AA32" s="63"/>
      <c r="AB32" s="94"/>
      <c r="AE32" s="97" t="str">
        <f t="shared" si="9"/>
        <v/>
      </c>
    </row>
    <row r="33" spans="1:31" ht="15.75">
      <c r="A33" s="62" t="str">
        <f t="shared" si="0"/>
        <v/>
      </c>
      <c r="B33" s="43"/>
      <c r="C33" s="45"/>
      <c r="D33" s="45"/>
      <c r="E33" s="50">
        <f t="shared" si="1"/>
        <v>0</v>
      </c>
      <c r="F33" s="47"/>
      <c r="G33" s="51">
        <f t="shared" si="2"/>
        <v>0</v>
      </c>
      <c r="H33" s="43"/>
      <c r="I33" s="43"/>
      <c r="J33" s="54"/>
      <c r="K33" s="47"/>
      <c r="L33" s="47"/>
      <c r="M33" s="47"/>
      <c r="N33" s="47"/>
      <c r="O33" s="47"/>
      <c r="P33" s="47"/>
      <c r="Q33" s="47"/>
      <c r="R33" s="47"/>
      <c r="S33" s="58">
        <f>IF(B33="",0,SUM(K33:R33)+SUMIFS('DESPESAS CASA'!$D$6:$D$305,'DESPESAS CASA'!$E$6:$E$305,A33))-P33</f>
        <v>0</v>
      </c>
      <c r="T33" s="51">
        <f t="shared" si="3"/>
        <v>0</v>
      </c>
      <c r="U33" s="51">
        <f t="shared" si="4"/>
        <v>0</v>
      </c>
      <c r="V33" s="51">
        <f t="shared" si="5"/>
        <v>0</v>
      </c>
      <c r="W33" s="52">
        <f t="shared" si="6"/>
        <v>0</v>
      </c>
      <c r="X33" s="47"/>
      <c r="Y33" s="58">
        <f t="shared" si="7"/>
        <v>0</v>
      </c>
      <c r="Z33" s="49" t="str">
        <f t="shared" si="8"/>
        <v/>
      </c>
      <c r="AA33" s="63"/>
      <c r="AB33" s="94"/>
      <c r="AE33" s="97" t="str">
        <f t="shared" si="9"/>
        <v/>
      </c>
    </row>
    <row r="34" spans="1:31" ht="15.75">
      <c r="A34" s="62" t="str">
        <f t="shared" si="0"/>
        <v/>
      </c>
      <c r="B34" s="43"/>
      <c r="C34" s="45"/>
      <c r="D34" s="45"/>
      <c r="E34" s="50">
        <f t="shared" si="1"/>
        <v>0</v>
      </c>
      <c r="F34" s="47"/>
      <c r="G34" s="51">
        <f t="shared" si="2"/>
        <v>0</v>
      </c>
      <c r="H34" s="43"/>
      <c r="I34" s="43"/>
      <c r="J34" s="54"/>
      <c r="K34" s="47"/>
      <c r="L34" s="47"/>
      <c r="M34" s="47"/>
      <c r="N34" s="47"/>
      <c r="O34" s="47"/>
      <c r="P34" s="47"/>
      <c r="Q34" s="47"/>
      <c r="R34" s="47"/>
      <c r="S34" s="58">
        <f>IF(B34="",0,SUM(K34:R34)+SUMIFS('DESPESAS CASA'!$D$6:$D$305,'DESPESAS CASA'!$E$6:$E$305,A34))-P34</f>
        <v>0</v>
      </c>
      <c r="T34" s="51">
        <f t="shared" si="3"/>
        <v>0</v>
      </c>
      <c r="U34" s="51">
        <f t="shared" si="4"/>
        <v>0</v>
      </c>
      <c r="V34" s="51">
        <f t="shared" si="5"/>
        <v>0</v>
      </c>
      <c r="W34" s="52">
        <f t="shared" si="6"/>
        <v>0</v>
      </c>
      <c r="X34" s="47"/>
      <c r="Y34" s="58">
        <f t="shared" si="7"/>
        <v>0</v>
      </c>
      <c r="Z34" s="49" t="str">
        <f t="shared" si="8"/>
        <v/>
      </c>
      <c r="AA34" s="63"/>
      <c r="AB34" s="94"/>
      <c r="AE34" s="97" t="str">
        <f t="shared" si="9"/>
        <v/>
      </c>
    </row>
    <row r="35" spans="1:31" ht="15.75">
      <c r="A35" s="62" t="str">
        <f t="shared" si="0"/>
        <v/>
      </c>
      <c r="B35" s="43"/>
      <c r="C35" s="45"/>
      <c r="D35" s="45"/>
      <c r="E35" s="50">
        <f t="shared" si="1"/>
        <v>0</v>
      </c>
      <c r="F35" s="47"/>
      <c r="G35" s="51">
        <f t="shared" si="2"/>
        <v>0</v>
      </c>
      <c r="H35" s="43"/>
      <c r="I35" s="43"/>
      <c r="J35" s="54"/>
      <c r="K35" s="47"/>
      <c r="L35" s="47"/>
      <c r="M35" s="47"/>
      <c r="N35" s="47"/>
      <c r="O35" s="47"/>
      <c r="P35" s="47"/>
      <c r="Q35" s="47"/>
      <c r="R35" s="47"/>
      <c r="S35" s="58">
        <f>IF(B35="",0,SUM(K35:R35)+SUMIFS('DESPESAS CASA'!$D$6:$D$305,'DESPESAS CASA'!$E$6:$E$305,A35))-P35</f>
        <v>0</v>
      </c>
      <c r="T35" s="51">
        <f t="shared" si="3"/>
        <v>0</v>
      </c>
      <c r="U35" s="51">
        <f t="shared" si="4"/>
        <v>0</v>
      </c>
      <c r="V35" s="51">
        <f t="shared" si="5"/>
        <v>0</v>
      </c>
      <c r="W35" s="52">
        <f t="shared" si="6"/>
        <v>0</v>
      </c>
      <c r="X35" s="47"/>
      <c r="Y35" s="58">
        <f t="shared" si="7"/>
        <v>0</v>
      </c>
      <c r="Z35" s="49" t="str">
        <f t="shared" si="8"/>
        <v/>
      </c>
      <c r="AA35" s="63"/>
      <c r="AB35" s="94"/>
      <c r="AE35" s="97" t="str">
        <f t="shared" si="9"/>
        <v/>
      </c>
    </row>
    <row r="36" spans="1:31" ht="15.75">
      <c r="A36" s="62" t="str">
        <f t="shared" ref="A36:A67" si="10">IF(B36="","","LOC-"&amp;TEXT(ROW()-5,"000"))</f>
        <v/>
      </c>
      <c r="B36" s="43"/>
      <c r="C36" s="45"/>
      <c r="D36" s="45"/>
      <c r="E36" s="50">
        <f t="shared" ref="E36:E67" si="11">IF(OR(B36="",C36="",D36=""),0,MAX(0,D36-C36))</f>
        <v>0</v>
      </c>
      <c r="F36" s="47"/>
      <c r="G36" s="51">
        <f t="shared" ref="G36:G67" si="12">IF(OR(B36="",E36=0,F36=""),0,E36*F36)</f>
        <v>0</v>
      </c>
      <c r="H36" s="43"/>
      <c r="I36" s="43"/>
      <c r="J36" s="54"/>
      <c r="K36" s="47"/>
      <c r="L36" s="47"/>
      <c r="M36" s="47"/>
      <c r="N36" s="47"/>
      <c r="O36" s="47"/>
      <c r="P36" s="47"/>
      <c r="Q36" s="47"/>
      <c r="R36" s="47"/>
      <c r="S36" s="58">
        <f>IF(B36="",0,SUM(K36:R36)+SUMIFS('DESPESAS CASA'!$D$6:$D$305,'DESPESAS CASA'!$E$6:$E$305,A36))-P36</f>
        <v>0</v>
      </c>
      <c r="T36" s="51">
        <f t="shared" ref="T36:T67" si="13">IF(OR(B36="",E36=0),0,S36/E36)</f>
        <v>0</v>
      </c>
      <c r="U36" s="51">
        <f t="shared" ref="U36:U67" si="14">IF(B36="",0,G36-S36)</f>
        <v>0</v>
      </c>
      <c r="V36" s="51">
        <f t="shared" ref="V36:V67" si="15">IF(OR(B36="",E36=0),0,U36/E36)</f>
        <v>0</v>
      </c>
      <c r="W36" s="52">
        <f t="shared" ref="W36:W67" si="16">IF(OR(B36="",G36=0),0,U36/G36)</f>
        <v>0</v>
      </c>
      <c r="X36" s="47"/>
      <c r="Y36" s="58">
        <f t="shared" si="7"/>
        <v>0</v>
      </c>
      <c r="Z36" s="49" t="str">
        <f t="shared" si="8"/>
        <v/>
      </c>
      <c r="AA36" s="63"/>
      <c r="AB36" s="94"/>
      <c r="AE36" s="97" t="str">
        <f t="shared" si="9"/>
        <v/>
      </c>
    </row>
    <row r="37" spans="1:31" ht="15.75">
      <c r="A37" s="62" t="str">
        <f t="shared" si="10"/>
        <v/>
      </c>
      <c r="B37" s="43"/>
      <c r="C37" s="45"/>
      <c r="D37" s="45"/>
      <c r="E37" s="50">
        <f t="shared" si="11"/>
        <v>0</v>
      </c>
      <c r="F37" s="47"/>
      <c r="G37" s="51">
        <f t="shared" si="12"/>
        <v>0</v>
      </c>
      <c r="H37" s="43"/>
      <c r="I37" s="43"/>
      <c r="J37" s="54"/>
      <c r="K37" s="47"/>
      <c r="L37" s="47"/>
      <c r="M37" s="47"/>
      <c r="N37" s="47"/>
      <c r="O37" s="47"/>
      <c r="P37" s="47"/>
      <c r="Q37" s="47"/>
      <c r="R37" s="47"/>
      <c r="S37" s="58">
        <f>IF(B37="",0,SUM(K37:R37)+SUMIFS('DESPESAS CASA'!$D$6:$D$305,'DESPESAS CASA'!$E$6:$E$305,A37))-P37</f>
        <v>0</v>
      </c>
      <c r="T37" s="51">
        <f t="shared" si="13"/>
        <v>0</v>
      </c>
      <c r="U37" s="51">
        <f t="shared" si="14"/>
        <v>0</v>
      </c>
      <c r="V37" s="51">
        <f t="shared" si="15"/>
        <v>0</v>
      </c>
      <c r="W37" s="52">
        <f t="shared" si="16"/>
        <v>0</v>
      </c>
      <c r="X37" s="47"/>
      <c r="Y37" s="58">
        <f t="shared" si="7"/>
        <v>0</v>
      </c>
      <c r="Z37" s="49" t="str">
        <f t="shared" si="8"/>
        <v/>
      </c>
      <c r="AA37" s="63"/>
      <c r="AB37" s="94"/>
      <c r="AE37" s="97" t="str">
        <f t="shared" si="9"/>
        <v/>
      </c>
    </row>
    <row r="38" spans="1:31" ht="15.75">
      <c r="A38" s="62" t="str">
        <f t="shared" si="10"/>
        <v/>
      </c>
      <c r="B38" s="43"/>
      <c r="C38" s="45"/>
      <c r="D38" s="45"/>
      <c r="E38" s="50">
        <f t="shared" si="11"/>
        <v>0</v>
      </c>
      <c r="F38" s="47"/>
      <c r="G38" s="51">
        <f t="shared" si="12"/>
        <v>0</v>
      </c>
      <c r="H38" s="43"/>
      <c r="I38" s="43"/>
      <c r="J38" s="54"/>
      <c r="K38" s="47"/>
      <c r="L38" s="47"/>
      <c r="M38" s="47"/>
      <c r="N38" s="47"/>
      <c r="O38" s="47"/>
      <c r="P38" s="47"/>
      <c r="Q38" s="47"/>
      <c r="R38" s="47"/>
      <c r="S38" s="58">
        <f>IF(B38="",0,SUM(K38:R38)+SUMIFS('DESPESAS CASA'!$D$6:$D$305,'DESPESAS CASA'!$E$6:$E$305,A38))-P38</f>
        <v>0</v>
      </c>
      <c r="T38" s="51">
        <f t="shared" si="13"/>
        <v>0</v>
      </c>
      <c r="U38" s="51">
        <f t="shared" si="14"/>
        <v>0</v>
      </c>
      <c r="V38" s="51">
        <f t="shared" si="15"/>
        <v>0</v>
      </c>
      <c r="W38" s="52">
        <f t="shared" si="16"/>
        <v>0</v>
      </c>
      <c r="X38" s="47"/>
      <c r="Y38" s="58">
        <f t="shared" si="7"/>
        <v>0</v>
      </c>
      <c r="Z38" s="49" t="str">
        <f t="shared" ref="Z38:Z69" si="17">IF(B38="","",IF(COUNTIFS($C$6:$C$203,"&lt;"&amp;D38,$D$6:$D$203,"&gt;"&amp;C38,$I$6:$I$203,"&lt;&gt;Cancelada",$I$6:$I$203,"&lt;&gt;Consulta",$AB$6:$AB$203,$AB38)&gt;1,"CONFLITO","OK"))</f>
        <v/>
      </c>
      <c r="AA38" s="63"/>
      <c r="AB38" s="94"/>
      <c r="AE38" s="97" t="str">
        <f t="shared" si="9"/>
        <v/>
      </c>
    </row>
    <row r="39" spans="1:31" ht="15.75">
      <c r="A39" s="62" t="str">
        <f t="shared" si="10"/>
        <v/>
      </c>
      <c r="B39" s="43"/>
      <c r="C39" s="45"/>
      <c r="D39" s="45"/>
      <c r="E39" s="50">
        <f t="shared" si="11"/>
        <v>0</v>
      </c>
      <c r="F39" s="47"/>
      <c r="G39" s="51">
        <f t="shared" si="12"/>
        <v>0</v>
      </c>
      <c r="H39" s="43"/>
      <c r="I39" s="43"/>
      <c r="J39" s="54"/>
      <c r="K39" s="47"/>
      <c r="L39" s="47"/>
      <c r="M39" s="47"/>
      <c r="N39" s="47"/>
      <c r="O39" s="47"/>
      <c r="P39" s="47"/>
      <c r="Q39" s="47"/>
      <c r="R39" s="47"/>
      <c r="S39" s="58">
        <f>IF(B39="",0,SUM(K39:R39)+SUMIFS('DESPESAS CASA'!$D$6:$D$305,'DESPESAS CASA'!$E$6:$E$305,A39))-P39</f>
        <v>0</v>
      </c>
      <c r="T39" s="51">
        <f t="shared" si="13"/>
        <v>0</v>
      </c>
      <c r="U39" s="51">
        <f t="shared" si="14"/>
        <v>0</v>
      </c>
      <c r="V39" s="51">
        <f t="shared" si="15"/>
        <v>0</v>
      </c>
      <c r="W39" s="52">
        <f t="shared" si="16"/>
        <v>0</v>
      </c>
      <c r="X39" s="47"/>
      <c r="Y39" s="58">
        <f t="shared" si="7"/>
        <v>0</v>
      </c>
      <c r="Z39" s="49" t="str">
        <f t="shared" si="17"/>
        <v/>
      </c>
      <c r="AA39" s="63"/>
      <c r="AB39" s="94"/>
      <c r="AE39" s="97" t="str">
        <f t="shared" si="9"/>
        <v/>
      </c>
    </row>
    <row r="40" spans="1:31" ht="15.75">
      <c r="A40" s="62" t="str">
        <f t="shared" si="10"/>
        <v/>
      </c>
      <c r="B40" s="43"/>
      <c r="C40" s="45"/>
      <c r="D40" s="45"/>
      <c r="E40" s="50">
        <f t="shared" si="11"/>
        <v>0</v>
      </c>
      <c r="F40" s="47"/>
      <c r="G40" s="51">
        <f t="shared" si="12"/>
        <v>0</v>
      </c>
      <c r="H40" s="43"/>
      <c r="I40" s="43"/>
      <c r="J40" s="54"/>
      <c r="K40" s="47"/>
      <c r="L40" s="47"/>
      <c r="M40" s="47"/>
      <c r="N40" s="47"/>
      <c r="O40" s="47"/>
      <c r="P40" s="47"/>
      <c r="Q40" s="47"/>
      <c r="R40" s="47"/>
      <c r="S40" s="58">
        <f>IF(B40="",0,SUM(K40:R40)+SUMIFS('DESPESAS CASA'!$D$6:$D$305,'DESPESAS CASA'!$E$6:$E$305,A40))-P40</f>
        <v>0</v>
      </c>
      <c r="T40" s="51">
        <f t="shared" si="13"/>
        <v>0</v>
      </c>
      <c r="U40" s="51">
        <f t="shared" si="14"/>
        <v>0</v>
      </c>
      <c r="V40" s="51">
        <f t="shared" si="15"/>
        <v>0</v>
      </c>
      <c r="W40" s="52">
        <f t="shared" si="16"/>
        <v>0</v>
      </c>
      <c r="X40" s="47"/>
      <c r="Y40" s="58">
        <f t="shared" si="7"/>
        <v>0</v>
      </c>
      <c r="Z40" s="49" t="str">
        <f t="shared" si="17"/>
        <v/>
      </c>
      <c r="AA40" s="63"/>
      <c r="AB40" s="94"/>
      <c r="AE40" s="97" t="str">
        <f t="shared" si="9"/>
        <v/>
      </c>
    </row>
    <row r="41" spans="1:31" ht="15.75">
      <c r="A41" s="62" t="str">
        <f t="shared" si="10"/>
        <v/>
      </c>
      <c r="B41" s="43"/>
      <c r="C41" s="45"/>
      <c r="D41" s="45"/>
      <c r="E41" s="50">
        <f t="shared" si="11"/>
        <v>0</v>
      </c>
      <c r="F41" s="47"/>
      <c r="G41" s="51">
        <f t="shared" si="12"/>
        <v>0</v>
      </c>
      <c r="H41" s="43"/>
      <c r="I41" s="43"/>
      <c r="J41" s="54"/>
      <c r="K41" s="47"/>
      <c r="L41" s="47"/>
      <c r="M41" s="47"/>
      <c r="N41" s="47"/>
      <c r="O41" s="47"/>
      <c r="P41" s="47"/>
      <c r="Q41" s="47"/>
      <c r="R41" s="47"/>
      <c r="S41" s="58">
        <f>IF(B41="",0,SUM(K41:R41)+SUMIFS('DESPESAS CASA'!$D$6:$D$305,'DESPESAS CASA'!$E$6:$E$305,A41))-P41</f>
        <v>0</v>
      </c>
      <c r="T41" s="51">
        <f t="shared" si="13"/>
        <v>0</v>
      </c>
      <c r="U41" s="51">
        <f t="shared" si="14"/>
        <v>0</v>
      </c>
      <c r="V41" s="51">
        <f t="shared" si="15"/>
        <v>0</v>
      </c>
      <c r="W41" s="52">
        <f t="shared" si="16"/>
        <v>0</v>
      </c>
      <c r="X41" s="47"/>
      <c r="Y41" s="58">
        <f t="shared" si="7"/>
        <v>0</v>
      </c>
      <c r="Z41" s="49" t="str">
        <f t="shared" si="17"/>
        <v/>
      </c>
      <c r="AA41" s="63"/>
      <c r="AB41" s="94"/>
      <c r="AE41" s="97" t="str">
        <f t="shared" si="9"/>
        <v/>
      </c>
    </row>
    <row r="42" spans="1:31" ht="15.75">
      <c r="A42" s="62" t="str">
        <f t="shared" si="10"/>
        <v/>
      </c>
      <c r="B42" s="43"/>
      <c r="C42" s="45"/>
      <c r="D42" s="45"/>
      <c r="E42" s="50">
        <f t="shared" si="11"/>
        <v>0</v>
      </c>
      <c r="F42" s="47"/>
      <c r="G42" s="51">
        <f t="shared" si="12"/>
        <v>0</v>
      </c>
      <c r="H42" s="43"/>
      <c r="I42" s="43"/>
      <c r="J42" s="54"/>
      <c r="K42" s="47"/>
      <c r="L42" s="47"/>
      <c r="M42" s="47"/>
      <c r="N42" s="47"/>
      <c r="O42" s="47"/>
      <c r="P42" s="47"/>
      <c r="Q42" s="47"/>
      <c r="R42" s="47"/>
      <c r="S42" s="58">
        <f>IF(B42="",0,SUM(K42:R42)+SUMIFS('DESPESAS CASA'!$D$6:$D$305,'DESPESAS CASA'!$E$6:$E$305,A42))-P42</f>
        <v>0</v>
      </c>
      <c r="T42" s="51">
        <f t="shared" si="13"/>
        <v>0</v>
      </c>
      <c r="U42" s="51">
        <f t="shared" si="14"/>
        <v>0</v>
      </c>
      <c r="V42" s="51">
        <f t="shared" si="15"/>
        <v>0</v>
      </c>
      <c r="W42" s="52">
        <f t="shared" si="16"/>
        <v>0</v>
      </c>
      <c r="X42" s="47"/>
      <c r="Y42" s="58">
        <f t="shared" si="7"/>
        <v>0</v>
      </c>
      <c r="Z42" s="49" t="str">
        <f t="shared" si="17"/>
        <v/>
      </c>
      <c r="AA42" s="63"/>
      <c r="AB42" s="94"/>
      <c r="AE42" s="97" t="str">
        <f t="shared" si="9"/>
        <v/>
      </c>
    </row>
    <row r="43" spans="1:31" ht="15.75">
      <c r="A43" s="62" t="str">
        <f t="shared" si="10"/>
        <v/>
      </c>
      <c r="B43" s="43"/>
      <c r="C43" s="45"/>
      <c r="D43" s="45"/>
      <c r="E43" s="50">
        <f t="shared" si="11"/>
        <v>0</v>
      </c>
      <c r="F43" s="47"/>
      <c r="G43" s="51">
        <f t="shared" si="12"/>
        <v>0</v>
      </c>
      <c r="H43" s="43"/>
      <c r="I43" s="43"/>
      <c r="J43" s="54"/>
      <c r="K43" s="47"/>
      <c r="L43" s="47"/>
      <c r="M43" s="47"/>
      <c r="N43" s="47"/>
      <c r="O43" s="47"/>
      <c r="P43" s="47"/>
      <c r="Q43" s="47"/>
      <c r="R43" s="47"/>
      <c r="S43" s="58">
        <f>IF(B43="",0,SUM(K43:R43)+SUMIFS('DESPESAS CASA'!$D$6:$D$305,'DESPESAS CASA'!$E$6:$E$305,A43))-P43</f>
        <v>0</v>
      </c>
      <c r="T43" s="51">
        <f t="shared" si="13"/>
        <v>0</v>
      </c>
      <c r="U43" s="51">
        <f t="shared" si="14"/>
        <v>0</v>
      </c>
      <c r="V43" s="51">
        <f t="shared" si="15"/>
        <v>0</v>
      </c>
      <c r="W43" s="52">
        <f t="shared" si="16"/>
        <v>0</v>
      </c>
      <c r="X43" s="47"/>
      <c r="Y43" s="58">
        <f t="shared" si="7"/>
        <v>0</v>
      </c>
      <c r="Z43" s="49" t="str">
        <f t="shared" si="17"/>
        <v/>
      </c>
      <c r="AA43" s="63"/>
      <c r="AB43" s="94"/>
      <c r="AE43" s="97" t="str">
        <f t="shared" si="9"/>
        <v/>
      </c>
    </row>
    <row r="44" spans="1:31" ht="15.75">
      <c r="A44" s="62" t="str">
        <f t="shared" si="10"/>
        <v/>
      </c>
      <c r="B44" s="43"/>
      <c r="C44" s="45"/>
      <c r="D44" s="45"/>
      <c r="E44" s="50">
        <f t="shared" si="11"/>
        <v>0</v>
      </c>
      <c r="F44" s="47"/>
      <c r="G44" s="51">
        <f t="shared" si="12"/>
        <v>0</v>
      </c>
      <c r="H44" s="43"/>
      <c r="I44" s="43"/>
      <c r="J44" s="54"/>
      <c r="K44" s="47"/>
      <c r="L44" s="47"/>
      <c r="M44" s="47"/>
      <c r="N44" s="47"/>
      <c r="O44" s="47"/>
      <c r="P44" s="47"/>
      <c r="Q44" s="47"/>
      <c r="R44" s="47"/>
      <c r="S44" s="58">
        <f>IF(B44="",0,SUM(K44:R44)+SUMIFS('DESPESAS CASA'!$D$6:$D$305,'DESPESAS CASA'!$E$6:$E$305,A44))-P44</f>
        <v>0</v>
      </c>
      <c r="T44" s="51">
        <f t="shared" si="13"/>
        <v>0</v>
      </c>
      <c r="U44" s="51">
        <f t="shared" si="14"/>
        <v>0</v>
      </c>
      <c r="V44" s="51">
        <f t="shared" si="15"/>
        <v>0</v>
      </c>
      <c r="W44" s="52">
        <f t="shared" si="16"/>
        <v>0</v>
      </c>
      <c r="X44" s="47"/>
      <c r="Y44" s="58">
        <f t="shared" si="7"/>
        <v>0</v>
      </c>
      <c r="Z44" s="49" t="str">
        <f t="shared" si="17"/>
        <v/>
      </c>
      <c r="AA44" s="63"/>
      <c r="AB44" s="94"/>
      <c r="AE44" s="97" t="str">
        <f t="shared" si="9"/>
        <v/>
      </c>
    </row>
    <row r="45" spans="1:31" ht="15.75">
      <c r="A45" s="62" t="str">
        <f t="shared" si="10"/>
        <v/>
      </c>
      <c r="B45" s="43"/>
      <c r="C45" s="45"/>
      <c r="D45" s="45"/>
      <c r="E45" s="50">
        <f t="shared" si="11"/>
        <v>0</v>
      </c>
      <c r="F45" s="47"/>
      <c r="G45" s="51">
        <f t="shared" si="12"/>
        <v>0</v>
      </c>
      <c r="H45" s="43"/>
      <c r="I45" s="43"/>
      <c r="J45" s="54"/>
      <c r="K45" s="47"/>
      <c r="L45" s="47"/>
      <c r="M45" s="47"/>
      <c r="N45" s="47"/>
      <c r="O45" s="47"/>
      <c r="P45" s="47"/>
      <c r="Q45" s="47"/>
      <c r="R45" s="47"/>
      <c r="S45" s="58">
        <f>IF(B45="",0,SUM(K45:R45)+SUMIFS('DESPESAS CASA'!$D$6:$D$305,'DESPESAS CASA'!$E$6:$E$305,A45))-P45</f>
        <v>0</v>
      </c>
      <c r="T45" s="51">
        <f t="shared" si="13"/>
        <v>0</v>
      </c>
      <c r="U45" s="51">
        <f t="shared" si="14"/>
        <v>0</v>
      </c>
      <c r="V45" s="51">
        <f t="shared" si="15"/>
        <v>0</v>
      </c>
      <c r="W45" s="52">
        <f t="shared" si="16"/>
        <v>0</v>
      </c>
      <c r="X45" s="47"/>
      <c r="Y45" s="58">
        <f t="shared" si="7"/>
        <v>0</v>
      </c>
      <c r="Z45" s="49" t="str">
        <f t="shared" si="17"/>
        <v/>
      </c>
      <c r="AA45" s="63"/>
      <c r="AB45" s="94"/>
      <c r="AE45" s="97" t="str">
        <f t="shared" si="9"/>
        <v/>
      </c>
    </row>
    <row r="46" spans="1:31" ht="15.75">
      <c r="A46" s="62" t="str">
        <f t="shared" si="10"/>
        <v/>
      </c>
      <c r="B46" s="43"/>
      <c r="C46" s="45"/>
      <c r="D46" s="45"/>
      <c r="E46" s="50">
        <f t="shared" si="11"/>
        <v>0</v>
      </c>
      <c r="F46" s="47"/>
      <c r="G46" s="51">
        <f t="shared" si="12"/>
        <v>0</v>
      </c>
      <c r="H46" s="43"/>
      <c r="I46" s="43"/>
      <c r="J46" s="54"/>
      <c r="K46" s="47"/>
      <c r="L46" s="47"/>
      <c r="M46" s="47"/>
      <c r="N46" s="47"/>
      <c r="O46" s="47"/>
      <c r="P46" s="47"/>
      <c r="Q46" s="47"/>
      <c r="R46" s="47"/>
      <c r="S46" s="58">
        <f>IF(B46="",0,SUM(K46:R46)+SUMIFS('DESPESAS CASA'!$D$6:$D$305,'DESPESAS CASA'!$E$6:$E$305,A46))-P46</f>
        <v>0</v>
      </c>
      <c r="T46" s="51">
        <f t="shared" si="13"/>
        <v>0</v>
      </c>
      <c r="U46" s="51">
        <f t="shared" si="14"/>
        <v>0</v>
      </c>
      <c r="V46" s="51">
        <f t="shared" si="15"/>
        <v>0</v>
      </c>
      <c r="W46" s="52">
        <f t="shared" si="16"/>
        <v>0</v>
      </c>
      <c r="X46" s="47"/>
      <c r="Y46" s="58">
        <f t="shared" si="7"/>
        <v>0</v>
      </c>
      <c r="Z46" s="49" t="str">
        <f t="shared" si="17"/>
        <v/>
      </c>
      <c r="AA46" s="63"/>
      <c r="AB46" s="94"/>
      <c r="AE46" s="97" t="str">
        <f t="shared" si="9"/>
        <v/>
      </c>
    </row>
    <row r="47" spans="1:31" ht="15.75">
      <c r="A47" s="62" t="str">
        <f t="shared" si="10"/>
        <v/>
      </c>
      <c r="B47" s="43"/>
      <c r="C47" s="45"/>
      <c r="D47" s="45"/>
      <c r="E47" s="50">
        <f t="shared" si="11"/>
        <v>0</v>
      </c>
      <c r="F47" s="47"/>
      <c r="G47" s="51">
        <f t="shared" si="12"/>
        <v>0</v>
      </c>
      <c r="H47" s="43"/>
      <c r="I47" s="43"/>
      <c r="J47" s="54"/>
      <c r="K47" s="47"/>
      <c r="L47" s="47"/>
      <c r="M47" s="47"/>
      <c r="N47" s="47"/>
      <c r="O47" s="47"/>
      <c r="P47" s="47"/>
      <c r="Q47" s="47"/>
      <c r="R47" s="47"/>
      <c r="S47" s="58">
        <f>IF(B47="",0,SUM(K47:R47)+SUMIFS('DESPESAS CASA'!$D$6:$D$305,'DESPESAS CASA'!$E$6:$E$305,A47))-P47</f>
        <v>0</v>
      </c>
      <c r="T47" s="51">
        <f t="shared" si="13"/>
        <v>0</v>
      </c>
      <c r="U47" s="51">
        <f t="shared" si="14"/>
        <v>0</v>
      </c>
      <c r="V47" s="51">
        <f t="shared" si="15"/>
        <v>0</v>
      </c>
      <c r="W47" s="52">
        <f t="shared" si="16"/>
        <v>0</v>
      </c>
      <c r="X47" s="47"/>
      <c r="Y47" s="58">
        <f t="shared" si="7"/>
        <v>0</v>
      </c>
      <c r="Z47" s="49" t="str">
        <f t="shared" si="17"/>
        <v/>
      </c>
      <c r="AA47" s="63"/>
      <c r="AB47" s="94"/>
      <c r="AE47" s="97" t="str">
        <f t="shared" si="9"/>
        <v/>
      </c>
    </row>
    <row r="48" spans="1:31" ht="15.75">
      <c r="A48" s="62" t="str">
        <f t="shared" si="10"/>
        <v/>
      </c>
      <c r="B48" s="43"/>
      <c r="C48" s="45"/>
      <c r="D48" s="45"/>
      <c r="E48" s="50">
        <f t="shared" si="11"/>
        <v>0</v>
      </c>
      <c r="F48" s="47"/>
      <c r="G48" s="51">
        <f t="shared" si="12"/>
        <v>0</v>
      </c>
      <c r="H48" s="43"/>
      <c r="I48" s="43"/>
      <c r="J48" s="54"/>
      <c r="K48" s="47"/>
      <c r="L48" s="47"/>
      <c r="M48" s="47"/>
      <c r="N48" s="47"/>
      <c r="O48" s="47"/>
      <c r="P48" s="47"/>
      <c r="Q48" s="47"/>
      <c r="R48" s="47"/>
      <c r="S48" s="58">
        <f>IF(B48="",0,SUM(K48:R48)+SUMIFS('DESPESAS CASA'!$D$6:$D$305,'DESPESAS CASA'!$E$6:$E$305,A48))-P48</f>
        <v>0</v>
      </c>
      <c r="T48" s="51">
        <f t="shared" si="13"/>
        <v>0</v>
      </c>
      <c r="U48" s="51">
        <f t="shared" si="14"/>
        <v>0</v>
      </c>
      <c r="V48" s="51">
        <f t="shared" si="15"/>
        <v>0</v>
      </c>
      <c r="W48" s="52">
        <f t="shared" si="16"/>
        <v>0</v>
      </c>
      <c r="X48" s="47"/>
      <c r="Y48" s="58">
        <f t="shared" si="7"/>
        <v>0</v>
      </c>
      <c r="Z48" s="49" t="str">
        <f t="shared" si="17"/>
        <v/>
      </c>
      <c r="AA48" s="63"/>
      <c r="AB48" s="94"/>
      <c r="AE48" s="97" t="str">
        <f t="shared" si="9"/>
        <v/>
      </c>
    </row>
    <row r="49" spans="1:31" ht="15.75">
      <c r="A49" s="62" t="str">
        <f t="shared" si="10"/>
        <v/>
      </c>
      <c r="B49" s="43"/>
      <c r="C49" s="45"/>
      <c r="D49" s="45"/>
      <c r="E49" s="50">
        <f t="shared" si="11"/>
        <v>0</v>
      </c>
      <c r="F49" s="47"/>
      <c r="G49" s="51">
        <f t="shared" si="12"/>
        <v>0</v>
      </c>
      <c r="H49" s="43"/>
      <c r="I49" s="43"/>
      <c r="J49" s="54"/>
      <c r="K49" s="47"/>
      <c r="L49" s="47"/>
      <c r="M49" s="47"/>
      <c r="N49" s="47"/>
      <c r="O49" s="47"/>
      <c r="P49" s="47"/>
      <c r="Q49" s="47"/>
      <c r="R49" s="47"/>
      <c r="S49" s="58">
        <f>IF(B49="",0,SUM(K49:R49)+SUMIFS('DESPESAS CASA'!$D$6:$D$305,'DESPESAS CASA'!$E$6:$E$305,A49))-P49</f>
        <v>0</v>
      </c>
      <c r="T49" s="51">
        <f t="shared" si="13"/>
        <v>0</v>
      </c>
      <c r="U49" s="51">
        <f t="shared" si="14"/>
        <v>0</v>
      </c>
      <c r="V49" s="51">
        <f t="shared" si="15"/>
        <v>0</v>
      </c>
      <c r="W49" s="52">
        <f t="shared" si="16"/>
        <v>0</v>
      </c>
      <c r="X49" s="47"/>
      <c r="Y49" s="58">
        <f t="shared" si="7"/>
        <v>0</v>
      </c>
      <c r="Z49" s="49" t="str">
        <f t="shared" si="17"/>
        <v/>
      </c>
      <c r="AA49" s="63"/>
      <c r="AB49" s="94"/>
      <c r="AE49" s="97" t="str">
        <f t="shared" si="9"/>
        <v/>
      </c>
    </row>
    <row r="50" spans="1:31" ht="15.75">
      <c r="A50" s="62" t="str">
        <f t="shared" si="10"/>
        <v/>
      </c>
      <c r="B50" s="43"/>
      <c r="C50" s="45"/>
      <c r="D50" s="45"/>
      <c r="E50" s="50">
        <f t="shared" si="11"/>
        <v>0</v>
      </c>
      <c r="F50" s="47"/>
      <c r="G50" s="51">
        <f t="shared" si="12"/>
        <v>0</v>
      </c>
      <c r="H50" s="43"/>
      <c r="I50" s="43"/>
      <c r="J50" s="54"/>
      <c r="K50" s="47"/>
      <c r="L50" s="47"/>
      <c r="M50" s="47"/>
      <c r="N50" s="47"/>
      <c r="O50" s="47"/>
      <c r="P50" s="47"/>
      <c r="Q50" s="47"/>
      <c r="R50" s="47"/>
      <c r="S50" s="58">
        <f>IF(B50="",0,SUM(K50:R50)+SUMIFS('DESPESAS CASA'!$D$6:$D$305,'DESPESAS CASA'!$E$6:$E$305,A50))-P50</f>
        <v>0</v>
      </c>
      <c r="T50" s="51">
        <f t="shared" si="13"/>
        <v>0</v>
      </c>
      <c r="U50" s="51">
        <f t="shared" si="14"/>
        <v>0</v>
      </c>
      <c r="V50" s="51">
        <f t="shared" si="15"/>
        <v>0</v>
      </c>
      <c r="W50" s="52">
        <f t="shared" si="16"/>
        <v>0</v>
      </c>
      <c r="X50" s="47"/>
      <c r="Y50" s="58">
        <f t="shared" si="7"/>
        <v>0</v>
      </c>
      <c r="Z50" s="49" t="str">
        <f t="shared" si="17"/>
        <v/>
      </c>
      <c r="AA50" s="63"/>
      <c r="AB50" s="94"/>
      <c r="AE50" s="97" t="str">
        <f t="shared" si="9"/>
        <v/>
      </c>
    </row>
    <row r="51" spans="1:31" ht="15.75">
      <c r="A51" s="62" t="str">
        <f t="shared" si="10"/>
        <v/>
      </c>
      <c r="B51" s="43"/>
      <c r="C51" s="45"/>
      <c r="D51" s="45"/>
      <c r="E51" s="50">
        <f t="shared" si="11"/>
        <v>0</v>
      </c>
      <c r="F51" s="47"/>
      <c r="G51" s="51">
        <f t="shared" si="12"/>
        <v>0</v>
      </c>
      <c r="H51" s="43"/>
      <c r="I51" s="43"/>
      <c r="J51" s="54"/>
      <c r="K51" s="47"/>
      <c r="L51" s="47"/>
      <c r="M51" s="47"/>
      <c r="N51" s="47"/>
      <c r="O51" s="47"/>
      <c r="P51" s="47"/>
      <c r="Q51" s="47"/>
      <c r="R51" s="47"/>
      <c r="S51" s="58">
        <f>IF(B51="",0,SUM(K51:R51)+SUMIFS('DESPESAS CASA'!$D$6:$D$305,'DESPESAS CASA'!$E$6:$E$305,A51))-P51</f>
        <v>0</v>
      </c>
      <c r="T51" s="51">
        <f t="shared" si="13"/>
        <v>0</v>
      </c>
      <c r="U51" s="51">
        <f t="shared" si="14"/>
        <v>0</v>
      </c>
      <c r="V51" s="51">
        <f t="shared" si="15"/>
        <v>0</v>
      </c>
      <c r="W51" s="52">
        <f t="shared" si="16"/>
        <v>0</v>
      </c>
      <c r="X51" s="47"/>
      <c r="Y51" s="58">
        <f t="shared" si="7"/>
        <v>0</v>
      </c>
      <c r="Z51" s="49" t="str">
        <f t="shared" si="17"/>
        <v/>
      </c>
      <c r="AA51" s="63"/>
      <c r="AB51" s="94"/>
      <c r="AE51" s="97" t="str">
        <f t="shared" si="9"/>
        <v/>
      </c>
    </row>
    <row r="52" spans="1:31" ht="15.75">
      <c r="A52" s="62" t="str">
        <f t="shared" si="10"/>
        <v/>
      </c>
      <c r="B52" s="43"/>
      <c r="C52" s="45"/>
      <c r="D52" s="45"/>
      <c r="E52" s="50">
        <f t="shared" si="11"/>
        <v>0</v>
      </c>
      <c r="F52" s="47"/>
      <c r="G52" s="51">
        <f t="shared" si="12"/>
        <v>0</v>
      </c>
      <c r="H52" s="43"/>
      <c r="I52" s="43"/>
      <c r="J52" s="54"/>
      <c r="K52" s="47"/>
      <c r="L52" s="47"/>
      <c r="M52" s="47"/>
      <c r="N52" s="47"/>
      <c r="O52" s="47"/>
      <c r="P52" s="47"/>
      <c r="Q52" s="47"/>
      <c r="R52" s="47"/>
      <c r="S52" s="58">
        <f>IF(B52="",0,SUM(K52:R52)+SUMIFS('DESPESAS CASA'!$D$6:$D$305,'DESPESAS CASA'!$E$6:$E$305,A52))-P52</f>
        <v>0</v>
      </c>
      <c r="T52" s="51">
        <f t="shared" si="13"/>
        <v>0</v>
      </c>
      <c r="U52" s="51">
        <f t="shared" si="14"/>
        <v>0</v>
      </c>
      <c r="V52" s="51">
        <f t="shared" si="15"/>
        <v>0</v>
      </c>
      <c r="W52" s="52">
        <f t="shared" si="16"/>
        <v>0</v>
      </c>
      <c r="X52" s="47"/>
      <c r="Y52" s="58">
        <f t="shared" si="7"/>
        <v>0</v>
      </c>
      <c r="Z52" s="49" t="str">
        <f t="shared" si="17"/>
        <v/>
      </c>
      <c r="AA52" s="63"/>
      <c r="AB52" s="94"/>
      <c r="AE52" s="97" t="str">
        <f t="shared" si="9"/>
        <v/>
      </c>
    </row>
    <row r="53" spans="1:31" ht="15.75">
      <c r="A53" s="62" t="str">
        <f t="shared" si="10"/>
        <v/>
      </c>
      <c r="B53" s="43"/>
      <c r="C53" s="45"/>
      <c r="D53" s="45"/>
      <c r="E53" s="50">
        <f t="shared" si="11"/>
        <v>0</v>
      </c>
      <c r="F53" s="47"/>
      <c r="G53" s="51">
        <f t="shared" si="12"/>
        <v>0</v>
      </c>
      <c r="H53" s="43"/>
      <c r="I53" s="43"/>
      <c r="J53" s="54"/>
      <c r="K53" s="47"/>
      <c r="L53" s="47"/>
      <c r="M53" s="47"/>
      <c r="N53" s="47"/>
      <c r="O53" s="47"/>
      <c r="P53" s="47"/>
      <c r="Q53" s="47"/>
      <c r="R53" s="47"/>
      <c r="S53" s="58">
        <f>IF(B53="",0,SUM(K53:R53)+SUMIFS('DESPESAS CASA'!$D$6:$D$305,'DESPESAS CASA'!$E$6:$E$305,A53))-P53</f>
        <v>0</v>
      </c>
      <c r="T53" s="51">
        <f t="shared" si="13"/>
        <v>0</v>
      </c>
      <c r="U53" s="51">
        <f t="shared" si="14"/>
        <v>0</v>
      </c>
      <c r="V53" s="51">
        <f t="shared" si="15"/>
        <v>0</v>
      </c>
      <c r="W53" s="52">
        <f t="shared" si="16"/>
        <v>0</v>
      </c>
      <c r="X53" s="47"/>
      <c r="Y53" s="58">
        <f t="shared" si="7"/>
        <v>0</v>
      </c>
      <c r="Z53" s="49" t="str">
        <f t="shared" si="17"/>
        <v/>
      </c>
      <c r="AA53" s="63"/>
      <c r="AB53" s="94"/>
      <c r="AE53" s="97" t="str">
        <f t="shared" si="9"/>
        <v/>
      </c>
    </row>
    <row r="54" spans="1:31" ht="15.75">
      <c r="A54" s="62" t="str">
        <f t="shared" si="10"/>
        <v/>
      </c>
      <c r="B54" s="43"/>
      <c r="C54" s="45"/>
      <c r="D54" s="45"/>
      <c r="E54" s="50">
        <f t="shared" si="11"/>
        <v>0</v>
      </c>
      <c r="F54" s="47"/>
      <c r="G54" s="51">
        <f t="shared" si="12"/>
        <v>0</v>
      </c>
      <c r="H54" s="43"/>
      <c r="I54" s="43"/>
      <c r="J54" s="54"/>
      <c r="K54" s="47"/>
      <c r="L54" s="47"/>
      <c r="M54" s="47"/>
      <c r="N54" s="47"/>
      <c r="O54" s="47"/>
      <c r="P54" s="47"/>
      <c r="Q54" s="47"/>
      <c r="R54" s="47"/>
      <c r="S54" s="58">
        <f>IF(B54="",0,SUM(K54:R54)+SUMIFS('DESPESAS CASA'!$D$6:$D$305,'DESPESAS CASA'!$E$6:$E$305,A54))-P54</f>
        <v>0</v>
      </c>
      <c r="T54" s="51">
        <f t="shared" si="13"/>
        <v>0</v>
      </c>
      <c r="U54" s="51">
        <f t="shared" si="14"/>
        <v>0</v>
      </c>
      <c r="V54" s="51">
        <f t="shared" si="15"/>
        <v>0</v>
      </c>
      <c r="W54" s="52">
        <f t="shared" si="16"/>
        <v>0</v>
      </c>
      <c r="X54" s="47"/>
      <c r="Y54" s="58">
        <f t="shared" si="7"/>
        <v>0</v>
      </c>
      <c r="Z54" s="49" t="str">
        <f t="shared" si="17"/>
        <v/>
      </c>
      <c r="AA54" s="63"/>
      <c r="AB54" s="94"/>
      <c r="AE54" s="97" t="str">
        <f t="shared" si="9"/>
        <v/>
      </c>
    </row>
    <row r="55" spans="1:31" ht="15.75">
      <c r="A55" s="62" t="str">
        <f t="shared" si="10"/>
        <v/>
      </c>
      <c r="B55" s="43"/>
      <c r="C55" s="45"/>
      <c r="D55" s="45"/>
      <c r="E55" s="50">
        <f t="shared" si="11"/>
        <v>0</v>
      </c>
      <c r="F55" s="47"/>
      <c r="G55" s="51">
        <f t="shared" si="12"/>
        <v>0</v>
      </c>
      <c r="H55" s="43"/>
      <c r="I55" s="43"/>
      <c r="J55" s="54"/>
      <c r="K55" s="47"/>
      <c r="L55" s="47"/>
      <c r="M55" s="47"/>
      <c r="N55" s="47"/>
      <c r="O55" s="47"/>
      <c r="P55" s="47"/>
      <c r="Q55" s="47"/>
      <c r="R55" s="47"/>
      <c r="S55" s="58">
        <f>IF(B55="",0,SUM(K55:R55)+SUMIFS('DESPESAS CASA'!$D$6:$D$305,'DESPESAS CASA'!$E$6:$E$305,A55))-P55</f>
        <v>0</v>
      </c>
      <c r="T55" s="51">
        <f t="shared" si="13"/>
        <v>0</v>
      </c>
      <c r="U55" s="51">
        <f t="shared" si="14"/>
        <v>0</v>
      </c>
      <c r="V55" s="51">
        <f t="shared" si="15"/>
        <v>0</v>
      </c>
      <c r="W55" s="52">
        <f t="shared" si="16"/>
        <v>0</v>
      </c>
      <c r="X55" s="47"/>
      <c r="Y55" s="58">
        <f t="shared" si="7"/>
        <v>0</v>
      </c>
      <c r="Z55" s="49" t="str">
        <f t="shared" si="17"/>
        <v/>
      </c>
      <c r="AA55" s="63"/>
      <c r="AB55" s="94"/>
      <c r="AE55" s="97" t="str">
        <f t="shared" si="9"/>
        <v/>
      </c>
    </row>
    <row r="56" spans="1:31" ht="15.75">
      <c r="A56" s="62" t="str">
        <f t="shared" si="10"/>
        <v/>
      </c>
      <c r="B56" s="43"/>
      <c r="C56" s="45"/>
      <c r="D56" s="45"/>
      <c r="E56" s="50">
        <f t="shared" si="11"/>
        <v>0</v>
      </c>
      <c r="F56" s="47"/>
      <c r="G56" s="51">
        <f t="shared" si="12"/>
        <v>0</v>
      </c>
      <c r="H56" s="43"/>
      <c r="I56" s="43"/>
      <c r="J56" s="54"/>
      <c r="K56" s="47"/>
      <c r="L56" s="47"/>
      <c r="M56" s="47"/>
      <c r="N56" s="47"/>
      <c r="O56" s="47"/>
      <c r="P56" s="47"/>
      <c r="Q56" s="47"/>
      <c r="R56" s="47"/>
      <c r="S56" s="58">
        <f>IF(B56="",0,SUM(K56:R56)+SUMIFS('DESPESAS CASA'!$D$6:$D$305,'DESPESAS CASA'!$E$6:$E$305,A56))-P56</f>
        <v>0</v>
      </c>
      <c r="T56" s="51">
        <f t="shared" si="13"/>
        <v>0</v>
      </c>
      <c r="U56" s="51">
        <f t="shared" si="14"/>
        <v>0</v>
      </c>
      <c r="V56" s="51">
        <f t="shared" si="15"/>
        <v>0</v>
      </c>
      <c r="W56" s="52">
        <f t="shared" si="16"/>
        <v>0</v>
      </c>
      <c r="X56" s="47"/>
      <c r="Y56" s="58">
        <f t="shared" si="7"/>
        <v>0</v>
      </c>
      <c r="Z56" s="49" t="str">
        <f t="shared" si="17"/>
        <v/>
      </c>
      <c r="AA56" s="63"/>
      <c r="AB56" s="94"/>
      <c r="AE56" s="97" t="str">
        <f t="shared" si="9"/>
        <v/>
      </c>
    </row>
    <row r="57" spans="1:31" ht="15.75">
      <c r="A57" s="62" t="str">
        <f t="shared" si="10"/>
        <v/>
      </c>
      <c r="B57" s="43"/>
      <c r="C57" s="45"/>
      <c r="D57" s="45"/>
      <c r="E57" s="50">
        <f t="shared" si="11"/>
        <v>0</v>
      </c>
      <c r="F57" s="47"/>
      <c r="G57" s="51">
        <f t="shared" si="12"/>
        <v>0</v>
      </c>
      <c r="H57" s="43"/>
      <c r="I57" s="43"/>
      <c r="J57" s="54"/>
      <c r="K57" s="47"/>
      <c r="L57" s="47"/>
      <c r="M57" s="47"/>
      <c r="N57" s="47"/>
      <c r="O57" s="47"/>
      <c r="P57" s="47"/>
      <c r="Q57" s="47"/>
      <c r="R57" s="47"/>
      <c r="S57" s="58">
        <f>IF(B57="",0,SUM(K57:R57)+SUMIFS('DESPESAS CASA'!$D$6:$D$305,'DESPESAS CASA'!$E$6:$E$305,A57))-P57</f>
        <v>0</v>
      </c>
      <c r="T57" s="51">
        <f t="shared" si="13"/>
        <v>0</v>
      </c>
      <c r="U57" s="51">
        <f t="shared" si="14"/>
        <v>0</v>
      </c>
      <c r="V57" s="51">
        <f t="shared" si="15"/>
        <v>0</v>
      </c>
      <c r="W57" s="52">
        <f t="shared" si="16"/>
        <v>0</v>
      </c>
      <c r="X57" s="47"/>
      <c r="Y57" s="58">
        <f t="shared" si="7"/>
        <v>0</v>
      </c>
      <c r="Z57" s="49" t="str">
        <f t="shared" si="17"/>
        <v/>
      </c>
      <c r="AA57" s="63"/>
      <c r="AB57" s="94"/>
      <c r="AE57" s="97" t="str">
        <f t="shared" si="9"/>
        <v/>
      </c>
    </row>
    <row r="58" spans="1:31" ht="15.75">
      <c r="A58" s="62" t="str">
        <f t="shared" si="10"/>
        <v/>
      </c>
      <c r="B58" s="43"/>
      <c r="C58" s="45"/>
      <c r="D58" s="45"/>
      <c r="E58" s="50">
        <f t="shared" si="11"/>
        <v>0</v>
      </c>
      <c r="F58" s="47"/>
      <c r="G58" s="51">
        <f t="shared" si="12"/>
        <v>0</v>
      </c>
      <c r="H58" s="43"/>
      <c r="I58" s="43"/>
      <c r="J58" s="54"/>
      <c r="K58" s="47"/>
      <c r="L58" s="47"/>
      <c r="M58" s="47"/>
      <c r="N58" s="47"/>
      <c r="O58" s="47"/>
      <c r="P58" s="47"/>
      <c r="Q58" s="47"/>
      <c r="R58" s="47"/>
      <c r="S58" s="58">
        <f>IF(B58="",0,SUM(K58:R58)+SUMIFS('DESPESAS CASA'!$D$6:$D$305,'DESPESAS CASA'!$E$6:$E$305,A58))-P58</f>
        <v>0</v>
      </c>
      <c r="T58" s="51">
        <f t="shared" si="13"/>
        <v>0</v>
      </c>
      <c r="U58" s="51">
        <f t="shared" si="14"/>
        <v>0</v>
      </c>
      <c r="V58" s="51">
        <f t="shared" si="15"/>
        <v>0</v>
      </c>
      <c r="W58" s="52">
        <f t="shared" si="16"/>
        <v>0</v>
      </c>
      <c r="X58" s="47"/>
      <c r="Y58" s="58">
        <f t="shared" si="7"/>
        <v>0</v>
      </c>
      <c r="Z58" s="49" t="str">
        <f t="shared" si="17"/>
        <v/>
      </c>
      <c r="AA58" s="63"/>
      <c r="AB58" s="94"/>
      <c r="AE58" s="97" t="str">
        <f t="shared" si="9"/>
        <v/>
      </c>
    </row>
    <row r="59" spans="1:31" ht="15.75">
      <c r="A59" s="62" t="str">
        <f t="shared" si="10"/>
        <v/>
      </c>
      <c r="B59" s="43"/>
      <c r="C59" s="45"/>
      <c r="D59" s="45"/>
      <c r="E59" s="50">
        <f t="shared" si="11"/>
        <v>0</v>
      </c>
      <c r="F59" s="47"/>
      <c r="G59" s="51">
        <f t="shared" si="12"/>
        <v>0</v>
      </c>
      <c r="H59" s="43"/>
      <c r="I59" s="43"/>
      <c r="J59" s="54"/>
      <c r="K59" s="47"/>
      <c r="L59" s="47"/>
      <c r="M59" s="47"/>
      <c r="N59" s="47"/>
      <c r="O59" s="47"/>
      <c r="P59" s="47"/>
      <c r="Q59" s="47"/>
      <c r="R59" s="47"/>
      <c r="S59" s="58">
        <f>IF(B59="",0,SUM(K59:R59)+SUMIFS('DESPESAS CASA'!$D$6:$D$305,'DESPESAS CASA'!$E$6:$E$305,A59))-P59</f>
        <v>0</v>
      </c>
      <c r="T59" s="51">
        <f t="shared" si="13"/>
        <v>0</v>
      </c>
      <c r="U59" s="51">
        <f t="shared" si="14"/>
        <v>0</v>
      </c>
      <c r="V59" s="51">
        <f t="shared" si="15"/>
        <v>0</v>
      </c>
      <c r="W59" s="52">
        <f t="shared" si="16"/>
        <v>0</v>
      </c>
      <c r="X59" s="47"/>
      <c r="Y59" s="58">
        <f t="shared" si="7"/>
        <v>0</v>
      </c>
      <c r="Z59" s="49" t="str">
        <f t="shared" si="17"/>
        <v/>
      </c>
      <c r="AA59" s="63"/>
      <c r="AB59" s="94"/>
      <c r="AE59" s="97" t="str">
        <f t="shared" si="9"/>
        <v/>
      </c>
    </row>
    <row r="60" spans="1:31" ht="15.75">
      <c r="A60" s="62" t="str">
        <f t="shared" si="10"/>
        <v/>
      </c>
      <c r="B60" s="43"/>
      <c r="C60" s="45"/>
      <c r="D60" s="45"/>
      <c r="E60" s="50">
        <f t="shared" si="11"/>
        <v>0</v>
      </c>
      <c r="F60" s="47"/>
      <c r="G60" s="51">
        <f t="shared" si="12"/>
        <v>0</v>
      </c>
      <c r="H60" s="43"/>
      <c r="I60" s="43"/>
      <c r="J60" s="54"/>
      <c r="K60" s="47"/>
      <c r="L60" s="47"/>
      <c r="M60" s="47"/>
      <c r="N60" s="47"/>
      <c r="O60" s="47"/>
      <c r="P60" s="47"/>
      <c r="Q60" s="47"/>
      <c r="R60" s="47"/>
      <c r="S60" s="58">
        <f>IF(B60="",0,SUM(K60:R60)+SUMIFS('DESPESAS CASA'!$D$6:$D$305,'DESPESAS CASA'!$E$6:$E$305,A60))-P60</f>
        <v>0</v>
      </c>
      <c r="T60" s="51">
        <f t="shared" si="13"/>
        <v>0</v>
      </c>
      <c r="U60" s="51">
        <f t="shared" si="14"/>
        <v>0</v>
      </c>
      <c r="V60" s="51">
        <f t="shared" si="15"/>
        <v>0</v>
      </c>
      <c r="W60" s="52">
        <f t="shared" si="16"/>
        <v>0</v>
      </c>
      <c r="X60" s="47"/>
      <c r="Y60" s="58">
        <f t="shared" si="7"/>
        <v>0</v>
      </c>
      <c r="Z60" s="49" t="str">
        <f t="shared" si="17"/>
        <v/>
      </c>
      <c r="AA60" s="63"/>
      <c r="AB60" s="94"/>
      <c r="AE60" s="97" t="str">
        <f t="shared" si="9"/>
        <v/>
      </c>
    </row>
    <row r="61" spans="1:31" ht="15.75">
      <c r="A61" s="62" t="str">
        <f t="shared" si="10"/>
        <v/>
      </c>
      <c r="B61" s="43"/>
      <c r="C61" s="45"/>
      <c r="D61" s="45"/>
      <c r="E61" s="50">
        <f t="shared" si="11"/>
        <v>0</v>
      </c>
      <c r="F61" s="47"/>
      <c r="G61" s="51">
        <f t="shared" si="12"/>
        <v>0</v>
      </c>
      <c r="H61" s="43"/>
      <c r="I61" s="43"/>
      <c r="J61" s="54"/>
      <c r="K61" s="47"/>
      <c r="L61" s="47"/>
      <c r="M61" s="47"/>
      <c r="N61" s="47"/>
      <c r="O61" s="47"/>
      <c r="P61" s="47"/>
      <c r="Q61" s="47"/>
      <c r="R61" s="47"/>
      <c r="S61" s="58">
        <f>IF(B61="",0,SUM(K61:R61)+SUMIFS('DESPESAS CASA'!$D$6:$D$305,'DESPESAS CASA'!$E$6:$E$305,A61))-P61</f>
        <v>0</v>
      </c>
      <c r="T61" s="51">
        <f t="shared" si="13"/>
        <v>0</v>
      </c>
      <c r="U61" s="51">
        <f t="shared" si="14"/>
        <v>0</v>
      </c>
      <c r="V61" s="51">
        <f t="shared" si="15"/>
        <v>0</v>
      </c>
      <c r="W61" s="52">
        <f t="shared" si="16"/>
        <v>0</v>
      </c>
      <c r="X61" s="47"/>
      <c r="Y61" s="58">
        <f t="shared" si="7"/>
        <v>0</v>
      </c>
      <c r="Z61" s="49" t="str">
        <f t="shared" si="17"/>
        <v/>
      </c>
      <c r="AA61" s="63"/>
      <c r="AB61" s="94"/>
      <c r="AE61" s="97" t="str">
        <f t="shared" si="9"/>
        <v/>
      </c>
    </row>
    <row r="62" spans="1:31" ht="15.75">
      <c r="A62" s="62" t="str">
        <f t="shared" si="10"/>
        <v/>
      </c>
      <c r="B62" s="43"/>
      <c r="C62" s="45"/>
      <c r="D62" s="45"/>
      <c r="E62" s="50">
        <f t="shared" si="11"/>
        <v>0</v>
      </c>
      <c r="F62" s="47"/>
      <c r="G62" s="51">
        <f t="shared" si="12"/>
        <v>0</v>
      </c>
      <c r="H62" s="43"/>
      <c r="I62" s="43"/>
      <c r="J62" s="54"/>
      <c r="K62" s="47"/>
      <c r="L62" s="47"/>
      <c r="M62" s="47"/>
      <c r="N62" s="47"/>
      <c r="O62" s="47"/>
      <c r="P62" s="47"/>
      <c r="Q62" s="47"/>
      <c r="R62" s="47"/>
      <c r="S62" s="58">
        <f>IF(B62="",0,SUM(K62:R62)+SUMIFS('DESPESAS CASA'!$D$6:$D$305,'DESPESAS CASA'!$E$6:$E$305,A62))-P62</f>
        <v>0</v>
      </c>
      <c r="T62" s="51">
        <f t="shared" si="13"/>
        <v>0</v>
      </c>
      <c r="U62" s="51">
        <f t="shared" si="14"/>
        <v>0</v>
      </c>
      <c r="V62" s="51">
        <f t="shared" si="15"/>
        <v>0</v>
      </c>
      <c r="W62" s="52">
        <f t="shared" si="16"/>
        <v>0</v>
      </c>
      <c r="X62" s="47"/>
      <c r="Y62" s="58">
        <f t="shared" si="7"/>
        <v>0</v>
      </c>
      <c r="Z62" s="49" t="str">
        <f t="shared" si="17"/>
        <v/>
      </c>
      <c r="AA62" s="63"/>
      <c r="AB62" s="94"/>
      <c r="AE62" s="97" t="str">
        <f t="shared" si="9"/>
        <v/>
      </c>
    </row>
    <row r="63" spans="1:31" ht="15.75">
      <c r="A63" s="62" t="str">
        <f t="shared" si="10"/>
        <v/>
      </c>
      <c r="B63" s="43"/>
      <c r="C63" s="45"/>
      <c r="D63" s="45"/>
      <c r="E63" s="50">
        <f t="shared" si="11"/>
        <v>0</v>
      </c>
      <c r="F63" s="47"/>
      <c r="G63" s="51">
        <f t="shared" si="12"/>
        <v>0</v>
      </c>
      <c r="H63" s="43"/>
      <c r="I63" s="43"/>
      <c r="J63" s="54"/>
      <c r="K63" s="47"/>
      <c r="L63" s="47"/>
      <c r="M63" s="47"/>
      <c r="N63" s="47"/>
      <c r="O63" s="47"/>
      <c r="P63" s="47"/>
      <c r="Q63" s="47"/>
      <c r="R63" s="47"/>
      <c r="S63" s="58">
        <f>IF(B63="",0,SUM(K63:R63)+SUMIFS('DESPESAS CASA'!$D$6:$D$305,'DESPESAS CASA'!$E$6:$E$305,A63))-P63</f>
        <v>0</v>
      </c>
      <c r="T63" s="51">
        <f t="shared" si="13"/>
        <v>0</v>
      </c>
      <c r="U63" s="51">
        <f t="shared" si="14"/>
        <v>0</v>
      </c>
      <c r="V63" s="51">
        <f t="shared" si="15"/>
        <v>0</v>
      </c>
      <c r="W63" s="52">
        <f t="shared" si="16"/>
        <v>0</v>
      </c>
      <c r="X63" s="47"/>
      <c r="Y63" s="58">
        <f t="shared" si="7"/>
        <v>0</v>
      </c>
      <c r="Z63" s="49" t="str">
        <f t="shared" si="17"/>
        <v/>
      </c>
      <c r="AA63" s="63"/>
      <c r="AB63" s="94"/>
      <c r="AE63" s="97" t="str">
        <f t="shared" si="9"/>
        <v/>
      </c>
    </row>
    <row r="64" spans="1:31" ht="15.75">
      <c r="A64" s="62" t="str">
        <f t="shared" si="10"/>
        <v/>
      </c>
      <c r="B64" s="44"/>
      <c r="C64" s="46"/>
      <c r="D64" s="46"/>
      <c r="E64" s="50">
        <f t="shared" si="11"/>
        <v>0</v>
      </c>
      <c r="F64" s="48"/>
      <c r="G64" s="51">
        <f t="shared" si="12"/>
        <v>0</v>
      </c>
      <c r="H64" s="43"/>
      <c r="I64" s="44"/>
      <c r="J64" s="54"/>
      <c r="K64" s="48"/>
      <c r="L64" s="48"/>
      <c r="M64" s="48"/>
      <c r="N64" s="48"/>
      <c r="O64" s="48"/>
      <c r="P64" s="48"/>
      <c r="Q64" s="48"/>
      <c r="R64" s="48"/>
      <c r="S64" s="58">
        <f>IF(B64="",0,SUM(K64:R64)+SUMIFS('DESPESAS CASA'!$D$6:$D$305,'DESPESAS CASA'!$E$6:$E$305,A64))-P64</f>
        <v>0</v>
      </c>
      <c r="T64" s="51">
        <f t="shared" si="13"/>
        <v>0</v>
      </c>
      <c r="U64" s="51">
        <f t="shared" si="14"/>
        <v>0</v>
      </c>
      <c r="V64" s="51">
        <f t="shared" si="15"/>
        <v>0</v>
      </c>
      <c r="W64" s="52">
        <f t="shared" si="16"/>
        <v>0</v>
      </c>
      <c r="X64" s="48"/>
      <c r="Y64" s="58">
        <f t="shared" si="7"/>
        <v>0</v>
      </c>
      <c r="Z64" s="49" t="str">
        <f t="shared" si="17"/>
        <v/>
      </c>
      <c r="AA64" s="64"/>
      <c r="AB64" s="94"/>
      <c r="AE64" s="97" t="str">
        <f t="shared" si="9"/>
        <v/>
      </c>
    </row>
    <row r="65" spans="1:31" ht="15.75">
      <c r="A65" s="62" t="str">
        <f t="shared" si="10"/>
        <v/>
      </c>
      <c r="B65" s="44"/>
      <c r="C65" s="46"/>
      <c r="D65" s="46"/>
      <c r="E65" s="50">
        <f t="shared" si="11"/>
        <v>0</v>
      </c>
      <c r="F65" s="48"/>
      <c r="G65" s="51">
        <f t="shared" si="12"/>
        <v>0</v>
      </c>
      <c r="H65" s="43"/>
      <c r="I65" s="44"/>
      <c r="J65" s="54"/>
      <c r="K65" s="48"/>
      <c r="L65" s="48"/>
      <c r="M65" s="48"/>
      <c r="N65" s="48"/>
      <c r="O65" s="48"/>
      <c r="P65" s="48"/>
      <c r="Q65" s="48"/>
      <c r="R65" s="48"/>
      <c r="S65" s="58">
        <f>IF(B65="",0,SUM(K65:R65)+SUMIFS('DESPESAS CASA'!$D$6:$D$305,'DESPESAS CASA'!$E$6:$E$305,A65))-P65</f>
        <v>0</v>
      </c>
      <c r="T65" s="51">
        <f t="shared" si="13"/>
        <v>0</v>
      </c>
      <c r="U65" s="51">
        <f t="shared" si="14"/>
        <v>0</v>
      </c>
      <c r="V65" s="51">
        <f t="shared" si="15"/>
        <v>0</v>
      </c>
      <c r="W65" s="52">
        <f t="shared" si="16"/>
        <v>0</v>
      </c>
      <c r="X65" s="48"/>
      <c r="Y65" s="58">
        <f t="shared" si="7"/>
        <v>0</v>
      </c>
      <c r="Z65" s="49" t="str">
        <f t="shared" si="17"/>
        <v/>
      </c>
      <c r="AA65" s="64"/>
      <c r="AB65" s="94"/>
      <c r="AE65" s="97" t="str">
        <f t="shared" si="9"/>
        <v/>
      </c>
    </row>
    <row r="66" spans="1:31" ht="15.75">
      <c r="A66" s="62" t="str">
        <f t="shared" si="10"/>
        <v/>
      </c>
      <c r="B66" s="44"/>
      <c r="C66" s="46"/>
      <c r="D66" s="46"/>
      <c r="E66" s="50">
        <f t="shared" si="11"/>
        <v>0</v>
      </c>
      <c r="F66" s="48"/>
      <c r="G66" s="51">
        <f t="shared" si="12"/>
        <v>0</v>
      </c>
      <c r="H66" s="43"/>
      <c r="I66" s="44"/>
      <c r="J66" s="54"/>
      <c r="K66" s="48"/>
      <c r="L66" s="48"/>
      <c r="M66" s="48"/>
      <c r="N66" s="48"/>
      <c r="O66" s="48"/>
      <c r="P66" s="48"/>
      <c r="Q66" s="48"/>
      <c r="R66" s="48"/>
      <c r="S66" s="58">
        <f>IF(B66="",0,SUM(K66:R66)+SUMIFS('DESPESAS CASA'!$D$6:$D$305,'DESPESAS CASA'!$E$6:$E$305,A66))-P66</f>
        <v>0</v>
      </c>
      <c r="T66" s="51">
        <f t="shared" si="13"/>
        <v>0</v>
      </c>
      <c r="U66" s="51">
        <f t="shared" si="14"/>
        <v>0</v>
      </c>
      <c r="V66" s="51">
        <f t="shared" si="15"/>
        <v>0</v>
      </c>
      <c r="W66" s="52">
        <f t="shared" si="16"/>
        <v>0</v>
      </c>
      <c r="X66" s="48"/>
      <c r="Y66" s="58">
        <f t="shared" si="7"/>
        <v>0</v>
      </c>
      <c r="Z66" s="49" t="str">
        <f t="shared" si="17"/>
        <v/>
      </c>
      <c r="AA66" s="64"/>
      <c r="AB66" s="94"/>
      <c r="AE66" s="97" t="str">
        <f t="shared" si="9"/>
        <v/>
      </c>
    </row>
    <row r="67" spans="1:31" ht="15.75">
      <c r="A67" s="62" t="str">
        <f t="shared" si="10"/>
        <v/>
      </c>
      <c r="B67" s="44"/>
      <c r="C67" s="46"/>
      <c r="D67" s="46"/>
      <c r="E67" s="50">
        <f t="shared" si="11"/>
        <v>0</v>
      </c>
      <c r="F67" s="48"/>
      <c r="G67" s="51">
        <f t="shared" si="12"/>
        <v>0</v>
      </c>
      <c r="H67" s="43"/>
      <c r="I67" s="44"/>
      <c r="J67" s="54"/>
      <c r="K67" s="48"/>
      <c r="L67" s="48"/>
      <c r="M67" s="48"/>
      <c r="N67" s="48"/>
      <c r="O67" s="48"/>
      <c r="P67" s="48"/>
      <c r="Q67" s="48"/>
      <c r="R67" s="48"/>
      <c r="S67" s="58">
        <f>IF(B67="",0,SUM(K67:R67)+SUMIFS('DESPESAS CASA'!$D$6:$D$305,'DESPESAS CASA'!$E$6:$E$305,A67))-P67</f>
        <v>0</v>
      </c>
      <c r="T67" s="51">
        <f t="shared" si="13"/>
        <v>0</v>
      </c>
      <c r="U67" s="51">
        <f t="shared" si="14"/>
        <v>0</v>
      </c>
      <c r="V67" s="51">
        <f t="shared" si="15"/>
        <v>0</v>
      </c>
      <c r="W67" s="52">
        <f t="shared" si="16"/>
        <v>0</v>
      </c>
      <c r="X67" s="48"/>
      <c r="Y67" s="58">
        <f t="shared" si="7"/>
        <v>0</v>
      </c>
      <c r="Z67" s="49" t="str">
        <f t="shared" si="17"/>
        <v/>
      </c>
      <c r="AA67" s="64"/>
      <c r="AB67" s="94"/>
      <c r="AE67" s="97" t="str">
        <f t="shared" si="9"/>
        <v/>
      </c>
    </row>
    <row r="68" spans="1:31" ht="15.75">
      <c r="A68" s="62" t="str">
        <f t="shared" ref="A68:A99" si="18">IF(B68="","","LOC-"&amp;TEXT(ROW()-5,"000"))</f>
        <v/>
      </c>
      <c r="B68" s="44"/>
      <c r="C68" s="46"/>
      <c r="D68" s="46"/>
      <c r="E68" s="50">
        <f t="shared" ref="E68:E99" si="19">IF(OR(B68="",C68="",D68=""),0,MAX(0,D68-C68))</f>
        <v>0</v>
      </c>
      <c r="F68" s="48"/>
      <c r="G68" s="51">
        <f t="shared" ref="G68:G99" si="20">IF(OR(B68="",E68=0,F68=""),0,E68*F68)</f>
        <v>0</v>
      </c>
      <c r="H68" s="43"/>
      <c r="I68" s="44"/>
      <c r="J68" s="54"/>
      <c r="K68" s="48"/>
      <c r="L68" s="48"/>
      <c r="M68" s="48"/>
      <c r="N68" s="48"/>
      <c r="O68" s="48"/>
      <c r="P68" s="48"/>
      <c r="Q68" s="48"/>
      <c r="R68" s="48"/>
      <c r="S68" s="58">
        <f>IF(B68="",0,SUM(K68:R68)+SUMIFS('DESPESAS CASA'!$D$6:$D$305,'DESPESAS CASA'!$E$6:$E$305,A68))-P68</f>
        <v>0</v>
      </c>
      <c r="T68" s="51">
        <f t="shared" ref="T68:T99" si="21">IF(OR(B68="",E68=0),0,S68/E68)</f>
        <v>0</v>
      </c>
      <c r="U68" s="51">
        <f t="shared" ref="U68:U99" si="22">IF(B68="",0,G68-S68)</f>
        <v>0</v>
      </c>
      <c r="V68" s="51">
        <f t="shared" ref="V68:V99" si="23">IF(OR(B68="",E68=0),0,U68/E68)</f>
        <v>0</v>
      </c>
      <c r="W68" s="52">
        <f t="shared" ref="W68:W99" si="24">IF(OR(B68="",G68=0),0,U68/G68)</f>
        <v>0</v>
      </c>
      <c r="X68" s="48"/>
      <c r="Y68" s="58">
        <f t="shared" si="7"/>
        <v>0</v>
      </c>
      <c r="Z68" s="49" t="str">
        <f t="shared" si="17"/>
        <v/>
      </c>
      <c r="AA68" s="64"/>
      <c r="AB68" s="94"/>
      <c r="AE68" s="97" t="str">
        <f t="shared" si="9"/>
        <v/>
      </c>
    </row>
    <row r="69" spans="1:31" ht="15.75">
      <c r="A69" s="62" t="str">
        <f t="shared" si="18"/>
        <v/>
      </c>
      <c r="B69" s="44"/>
      <c r="C69" s="46"/>
      <c r="D69" s="46"/>
      <c r="E69" s="50">
        <f t="shared" si="19"/>
        <v>0</v>
      </c>
      <c r="F69" s="48"/>
      <c r="G69" s="51">
        <f t="shared" si="20"/>
        <v>0</v>
      </c>
      <c r="H69" s="43"/>
      <c r="I69" s="44"/>
      <c r="J69" s="54"/>
      <c r="K69" s="48"/>
      <c r="L69" s="48"/>
      <c r="M69" s="48"/>
      <c r="N69" s="48"/>
      <c r="O69" s="48"/>
      <c r="P69" s="48"/>
      <c r="Q69" s="48"/>
      <c r="R69" s="48"/>
      <c r="S69" s="58">
        <f>IF(B69="",0,SUM(K69:R69)+SUMIFS('DESPESAS CASA'!$D$6:$D$305,'DESPESAS CASA'!$E$6:$E$305,A69))-P69</f>
        <v>0</v>
      </c>
      <c r="T69" s="51">
        <f t="shared" si="21"/>
        <v>0</v>
      </c>
      <c r="U69" s="51">
        <f t="shared" si="22"/>
        <v>0</v>
      </c>
      <c r="V69" s="51">
        <f t="shared" si="23"/>
        <v>0</v>
      </c>
      <c r="W69" s="52">
        <f t="shared" si="24"/>
        <v>0</v>
      </c>
      <c r="X69" s="48"/>
      <c r="Y69" s="58">
        <f t="shared" ref="Y69:Y132" si="25">IF(B69="",0,IFERROR(MAX(0,G69-X69),G69))</f>
        <v>0</v>
      </c>
      <c r="Z69" s="49" t="str">
        <f t="shared" si="17"/>
        <v/>
      </c>
      <c r="AA69" s="64"/>
      <c r="AB69" s="94"/>
      <c r="AE69" s="97" t="str">
        <f t="shared" si="9"/>
        <v/>
      </c>
    </row>
    <row r="70" spans="1:31" ht="15.75">
      <c r="A70" s="62" t="str">
        <f t="shared" si="18"/>
        <v/>
      </c>
      <c r="B70" s="44"/>
      <c r="C70" s="46"/>
      <c r="D70" s="46"/>
      <c r="E70" s="50">
        <f t="shared" si="19"/>
        <v>0</v>
      </c>
      <c r="F70" s="48"/>
      <c r="G70" s="51">
        <f t="shared" si="20"/>
        <v>0</v>
      </c>
      <c r="H70" s="43"/>
      <c r="I70" s="44"/>
      <c r="J70" s="54"/>
      <c r="K70" s="48"/>
      <c r="L70" s="48"/>
      <c r="M70" s="48"/>
      <c r="N70" s="48"/>
      <c r="O70" s="48"/>
      <c r="P70" s="48"/>
      <c r="Q70" s="48"/>
      <c r="R70" s="48"/>
      <c r="S70" s="58">
        <f>IF(B70="",0,SUM(K70:R70)+SUMIFS('DESPESAS CASA'!$D$6:$D$305,'DESPESAS CASA'!$E$6:$E$305,A70))-P70</f>
        <v>0</v>
      </c>
      <c r="T70" s="51">
        <f t="shared" si="21"/>
        <v>0</v>
      </c>
      <c r="U70" s="51">
        <f t="shared" si="22"/>
        <v>0</v>
      </c>
      <c r="V70" s="51">
        <f t="shared" si="23"/>
        <v>0</v>
      </c>
      <c r="W70" s="52">
        <f t="shared" si="24"/>
        <v>0</v>
      </c>
      <c r="X70" s="48"/>
      <c r="Y70" s="58">
        <f t="shared" si="25"/>
        <v>0</v>
      </c>
      <c r="Z70" s="49" t="str">
        <f t="shared" ref="Z70:Z101" si="26">IF(B70="","",IF(COUNTIFS($C$6:$C$203,"&lt;"&amp;D70,$D$6:$D$203,"&gt;"&amp;C70,$I$6:$I$203,"&lt;&gt;Cancelada",$I$6:$I$203,"&lt;&gt;Consulta",$AB$6:$AB$203,$AB70)&gt;1,"CONFLITO","OK"))</f>
        <v/>
      </c>
      <c r="AA70" s="64"/>
      <c r="AB70" s="94"/>
      <c r="AE70" s="97" t="str">
        <f t="shared" si="9"/>
        <v/>
      </c>
    </row>
    <row r="71" spans="1:31" ht="15.75">
      <c r="A71" s="62" t="str">
        <f t="shared" si="18"/>
        <v/>
      </c>
      <c r="B71" s="44"/>
      <c r="C71" s="46"/>
      <c r="D71" s="46"/>
      <c r="E71" s="50">
        <f t="shared" si="19"/>
        <v>0</v>
      </c>
      <c r="F71" s="48"/>
      <c r="G71" s="51">
        <f t="shared" si="20"/>
        <v>0</v>
      </c>
      <c r="H71" s="43"/>
      <c r="I71" s="44"/>
      <c r="J71" s="54"/>
      <c r="K71" s="48"/>
      <c r="L71" s="48"/>
      <c r="M71" s="48"/>
      <c r="N71" s="48"/>
      <c r="O71" s="48"/>
      <c r="P71" s="48"/>
      <c r="Q71" s="48"/>
      <c r="R71" s="48"/>
      <c r="S71" s="58">
        <f>IF(B71="",0,SUM(K71:R71)+SUMIFS('DESPESAS CASA'!$D$6:$D$305,'DESPESAS CASA'!$E$6:$E$305,A71))-P71</f>
        <v>0</v>
      </c>
      <c r="T71" s="51">
        <f t="shared" si="21"/>
        <v>0</v>
      </c>
      <c r="U71" s="51">
        <f t="shared" si="22"/>
        <v>0</v>
      </c>
      <c r="V71" s="51">
        <f t="shared" si="23"/>
        <v>0</v>
      </c>
      <c r="W71" s="52">
        <f t="shared" si="24"/>
        <v>0</v>
      </c>
      <c r="X71" s="48"/>
      <c r="Y71" s="58">
        <f t="shared" si="25"/>
        <v>0</v>
      </c>
      <c r="Z71" s="49" t="str">
        <f t="shared" si="26"/>
        <v/>
      </c>
      <c r="AA71" s="64"/>
      <c r="AB71" s="94"/>
      <c r="AE71" s="97" t="str">
        <f t="shared" ref="AE71:AE134" si="27">IF((AC71+AD71)=0,"",AC71+AD71)</f>
        <v/>
      </c>
    </row>
    <row r="72" spans="1:31" ht="15.75">
      <c r="A72" s="62" t="str">
        <f t="shared" si="18"/>
        <v/>
      </c>
      <c r="B72" s="44"/>
      <c r="C72" s="46"/>
      <c r="D72" s="46"/>
      <c r="E72" s="50">
        <f t="shared" si="19"/>
        <v>0</v>
      </c>
      <c r="F72" s="48"/>
      <c r="G72" s="51">
        <f t="shared" si="20"/>
        <v>0</v>
      </c>
      <c r="H72" s="43"/>
      <c r="I72" s="44"/>
      <c r="J72" s="54"/>
      <c r="K72" s="48"/>
      <c r="L72" s="48"/>
      <c r="M72" s="48"/>
      <c r="N72" s="48"/>
      <c r="O72" s="48"/>
      <c r="P72" s="48"/>
      <c r="Q72" s="48"/>
      <c r="R72" s="48"/>
      <c r="S72" s="58">
        <f>IF(B72="",0,SUM(K72:R72)+SUMIFS('DESPESAS CASA'!$D$6:$D$305,'DESPESAS CASA'!$E$6:$E$305,A72))-P72</f>
        <v>0</v>
      </c>
      <c r="T72" s="51">
        <f t="shared" si="21"/>
        <v>0</v>
      </c>
      <c r="U72" s="51">
        <f t="shared" si="22"/>
        <v>0</v>
      </c>
      <c r="V72" s="51">
        <f t="shared" si="23"/>
        <v>0</v>
      </c>
      <c r="W72" s="52">
        <f t="shared" si="24"/>
        <v>0</v>
      </c>
      <c r="X72" s="48"/>
      <c r="Y72" s="58">
        <f t="shared" si="25"/>
        <v>0</v>
      </c>
      <c r="Z72" s="49" t="str">
        <f t="shared" si="26"/>
        <v/>
      </c>
      <c r="AA72" s="64"/>
      <c r="AB72" s="94"/>
      <c r="AE72" s="97" t="str">
        <f t="shared" si="27"/>
        <v/>
      </c>
    </row>
    <row r="73" spans="1:31" ht="15.75">
      <c r="A73" s="62" t="str">
        <f t="shared" si="18"/>
        <v/>
      </c>
      <c r="B73" s="44"/>
      <c r="C73" s="46"/>
      <c r="D73" s="46"/>
      <c r="E73" s="50">
        <f t="shared" si="19"/>
        <v>0</v>
      </c>
      <c r="F73" s="48"/>
      <c r="G73" s="51">
        <f t="shared" si="20"/>
        <v>0</v>
      </c>
      <c r="H73" s="43"/>
      <c r="I73" s="44"/>
      <c r="J73" s="54"/>
      <c r="K73" s="48"/>
      <c r="L73" s="48"/>
      <c r="M73" s="48"/>
      <c r="N73" s="48"/>
      <c r="O73" s="48"/>
      <c r="P73" s="48"/>
      <c r="Q73" s="48"/>
      <c r="R73" s="48"/>
      <c r="S73" s="58">
        <f>IF(B73="",0,SUM(K73:R73)+SUMIFS('DESPESAS CASA'!$D$6:$D$305,'DESPESAS CASA'!$E$6:$E$305,A73))-P73</f>
        <v>0</v>
      </c>
      <c r="T73" s="51">
        <f t="shared" si="21"/>
        <v>0</v>
      </c>
      <c r="U73" s="51">
        <f t="shared" si="22"/>
        <v>0</v>
      </c>
      <c r="V73" s="51">
        <f t="shared" si="23"/>
        <v>0</v>
      </c>
      <c r="W73" s="52">
        <f t="shared" si="24"/>
        <v>0</v>
      </c>
      <c r="X73" s="48"/>
      <c r="Y73" s="58">
        <f t="shared" si="25"/>
        <v>0</v>
      </c>
      <c r="Z73" s="49" t="str">
        <f t="shared" si="26"/>
        <v/>
      </c>
      <c r="AA73" s="64"/>
      <c r="AB73" s="94"/>
      <c r="AE73" s="97" t="str">
        <f t="shared" si="27"/>
        <v/>
      </c>
    </row>
    <row r="74" spans="1:31" ht="15.75">
      <c r="A74" s="62" t="str">
        <f t="shared" si="18"/>
        <v/>
      </c>
      <c r="B74" s="44"/>
      <c r="C74" s="46"/>
      <c r="D74" s="46"/>
      <c r="E74" s="50">
        <f t="shared" si="19"/>
        <v>0</v>
      </c>
      <c r="F74" s="48"/>
      <c r="G74" s="51">
        <f t="shared" si="20"/>
        <v>0</v>
      </c>
      <c r="H74" s="43"/>
      <c r="I74" s="44"/>
      <c r="J74" s="54"/>
      <c r="K74" s="48"/>
      <c r="L74" s="48"/>
      <c r="M74" s="48"/>
      <c r="N74" s="48"/>
      <c r="O74" s="48"/>
      <c r="P74" s="48"/>
      <c r="Q74" s="48"/>
      <c r="R74" s="48"/>
      <c r="S74" s="58">
        <f>IF(B74="",0,SUM(K74:R74)+SUMIFS('DESPESAS CASA'!$D$6:$D$305,'DESPESAS CASA'!$E$6:$E$305,A74))-P74</f>
        <v>0</v>
      </c>
      <c r="T74" s="51">
        <f t="shared" si="21"/>
        <v>0</v>
      </c>
      <c r="U74" s="51">
        <f t="shared" si="22"/>
        <v>0</v>
      </c>
      <c r="V74" s="51">
        <f t="shared" si="23"/>
        <v>0</v>
      </c>
      <c r="W74" s="52">
        <f t="shared" si="24"/>
        <v>0</v>
      </c>
      <c r="X74" s="48"/>
      <c r="Y74" s="58">
        <f t="shared" si="25"/>
        <v>0</v>
      </c>
      <c r="Z74" s="49" t="str">
        <f t="shared" si="26"/>
        <v/>
      </c>
      <c r="AA74" s="64"/>
      <c r="AB74" s="94"/>
      <c r="AE74" s="97" t="str">
        <f t="shared" si="27"/>
        <v/>
      </c>
    </row>
    <row r="75" spans="1:31" ht="15.75">
      <c r="A75" s="62" t="str">
        <f t="shared" si="18"/>
        <v/>
      </c>
      <c r="B75" s="44"/>
      <c r="C75" s="46"/>
      <c r="D75" s="46"/>
      <c r="E75" s="50">
        <f t="shared" si="19"/>
        <v>0</v>
      </c>
      <c r="F75" s="48"/>
      <c r="G75" s="51">
        <f t="shared" si="20"/>
        <v>0</v>
      </c>
      <c r="H75" s="43"/>
      <c r="I75" s="44"/>
      <c r="J75" s="54"/>
      <c r="K75" s="48"/>
      <c r="L75" s="48"/>
      <c r="M75" s="48"/>
      <c r="N75" s="48"/>
      <c r="O75" s="48"/>
      <c r="P75" s="48"/>
      <c r="Q75" s="48"/>
      <c r="R75" s="48"/>
      <c r="S75" s="58">
        <f>IF(B75="",0,SUM(K75:R75)+SUMIFS('DESPESAS CASA'!$D$6:$D$305,'DESPESAS CASA'!$E$6:$E$305,A75))-P75</f>
        <v>0</v>
      </c>
      <c r="T75" s="51">
        <f t="shared" si="21"/>
        <v>0</v>
      </c>
      <c r="U75" s="51">
        <f t="shared" si="22"/>
        <v>0</v>
      </c>
      <c r="V75" s="51">
        <f t="shared" si="23"/>
        <v>0</v>
      </c>
      <c r="W75" s="52">
        <f t="shared" si="24"/>
        <v>0</v>
      </c>
      <c r="X75" s="48"/>
      <c r="Y75" s="58">
        <f t="shared" si="25"/>
        <v>0</v>
      </c>
      <c r="Z75" s="49" t="str">
        <f t="shared" si="26"/>
        <v/>
      </c>
      <c r="AA75" s="64"/>
      <c r="AB75" s="94"/>
      <c r="AE75" s="97" t="str">
        <f t="shared" si="27"/>
        <v/>
      </c>
    </row>
    <row r="76" spans="1:31" ht="15.75">
      <c r="A76" s="62" t="str">
        <f t="shared" si="18"/>
        <v/>
      </c>
      <c r="B76" s="44"/>
      <c r="C76" s="46"/>
      <c r="D76" s="46"/>
      <c r="E76" s="50">
        <f t="shared" si="19"/>
        <v>0</v>
      </c>
      <c r="F76" s="48"/>
      <c r="G76" s="51">
        <f t="shared" si="20"/>
        <v>0</v>
      </c>
      <c r="H76" s="43"/>
      <c r="I76" s="44"/>
      <c r="J76" s="54"/>
      <c r="K76" s="48"/>
      <c r="L76" s="48"/>
      <c r="M76" s="48"/>
      <c r="N76" s="48"/>
      <c r="O76" s="48"/>
      <c r="P76" s="48"/>
      <c r="Q76" s="48"/>
      <c r="R76" s="48"/>
      <c r="S76" s="58">
        <f>IF(B76="",0,SUM(K76:R76)+SUMIFS('DESPESAS CASA'!$D$6:$D$305,'DESPESAS CASA'!$E$6:$E$305,A76))-P76</f>
        <v>0</v>
      </c>
      <c r="T76" s="51">
        <f t="shared" si="21"/>
        <v>0</v>
      </c>
      <c r="U76" s="51">
        <f t="shared" si="22"/>
        <v>0</v>
      </c>
      <c r="V76" s="51">
        <f t="shared" si="23"/>
        <v>0</v>
      </c>
      <c r="W76" s="52">
        <f t="shared" si="24"/>
        <v>0</v>
      </c>
      <c r="X76" s="48"/>
      <c r="Y76" s="58">
        <f t="shared" si="25"/>
        <v>0</v>
      </c>
      <c r="Z76" s="49" t="str">
        <f t="shared" si="26"/>
        <v/>
      </c>
      <c r="AA76" s="64"/>
      <c r="AB76" s="94"/>
      <c r="AE76" s="97" t="str">
        <f t="shared" si="27"/>
        <v/>
      </c>
    </row>
    <row r="77" spans="1:31" ht="15.75">
      <c r="A77" s="62" t="str">
        <f t="shared" si="18"/>
        <v/>
      </c>
      <c r="B77" s="44"/>
      <c r="C77" s="46"/>
      <c r="D77" s="46"/>
      <c r="E77" s="50">
        <f t="shared" si="19"/>
        <v>0</v>
      </c>
      <c r="F77" s="48"/>
      <c r="G77" s="51">
        <f t="shared" si="20"/>
        <v>0</v>
      </c>
      <c r="H77" s="43"/>
      <c r="I77" s="44"/>
      <c r="J77" s="54"/>
      <c r="K77" s="48"/>
      <c r="L77" s="48"/>
      <c r="M77" s="48"/>
      <c r="N77" s="48"/>
      <c r="O77" s="48"/>
      <c r="P77" s="48"/>
      <c r="Q77" s="48"/>
      <c r="R77" s="48"/>
      <c r="S77" s="58">
        <f>IF(B77="",0,SUM(K77:R77)+SUMIFS('DESPESAS CASA'!$D$6:$D$305,'DESPESAS CASA'!$E$6:$E$305,A77))-P77</f>
        <v>0</v>
      </c>
      <c r="T77" s="51">
        <f t="shared" si="21"/>
        <v>0</v>
      </c>
      <c r="U77" s="51">
        <f t="shared" si="22"/>
        <v>0</v>
      </c>
      <c r="V77" s="51">
        <f t="shared" si="23"/>
        <v>0</v>
      </c>
      <c r="W77" s="52">
        <f t="shared" si="24"/>
        <v>0</v>
      </c>
      <c r="X77" s="48"/>
      <c r="Y77" s="58">
        <f t="shared" si="25"/>
        <v>0</v>
      </c>
      <c r="Z77" s="49" t="str">
        <f t="shared" si="26"/>
        <v/>
      </c>
      <c r="AA77" s="64"/>
      <c r="AB77" s="94"/>
      <c r="AE77" s="97" t="str">
        <f t="shared" si="27"/>
        <v/>
      </c>
    </row>
    <row r="78" spans="1:31" ht="15.75">
      <c r="A78" s="62" t="str">
        <f t="shared" si="18"/>
        <v/>
      </c>
      <c r="B78" s="44"/>
      <c r="C78" s="46"/>
      <c r="D78" s="46"/>
      <c r="E78" s="50">
        <f t="shared" si="19"/>
        <v>0</v>
      </c>
      <c r="F78" s="48"/>
      <c r="G78" s="51">
        <f t="shared" si="20"/>
        <v>0</v>
      </c>
      <c r="H78" s="43"/>
      <c r="I78" s="44"/>
      <c r="J78" s="54"/>
      <c r="K78" s="48"/>
      <c r="L78" s="48"/>
      <c r="M78" s="48"/>
      <c r="N78" s="48"/>
      <c r="O78" s="48"/>
      <c r="P78" s="48"/>
      <c r="Q78" s="48"/>
      <c r="R78" s="48"/>
      <c r="S78" s="58">
        <f>IF(B78="",0,SUM(K78:R78)+SUMIFS('DESPESAS CASA'!$D$6:$D$305,'DESPESAS CASA'!$E$6:$E$305,A78))-P78</f>
        <v>0</v>
      </c>
      <c r="T78" s="51">
        <f t="shared" si="21"/>
        <v>0</v>
      </c>
      <c r="U78" s="51">
        <f t="shared" si="22"/>
        <v>0</v>
      </c>
      <c r="V78" s="51">
        <f t="shared" si="23"/>
        <v>0</v>
      </c>
      <c r="W78" s="52">
        <f t="shared" si="24"/>
        <v>0</v>
      </c>
      <c r="X78" s="48"/>
      <c r="Y78" s="58">
        <f t="shared" si="25"/>
        <v>0</v>
      </c>
      <c r="Z78" s="49" t="str">
        <f t="shared" si="26"/>
        <v/>
      </c>
      <c r="AA78" s="64"/>
      <c r="AB78" s="94"/>
      <c r="AE78" s="97" t="str">
        <f t="shared" si="27"/>
        <v/>
      </c>
    </row>
    <row r="79" spans="1:31" ht="15.75">
      <c r="A79" s="62" t="str">
        <f t="shared" si="18"/>
        <v/>
      </c>
      <c r="B79" s="44"/>
      <c r="C79" s="46"/>
      <c r="D79" s="46"/>
      <c r="E79" s="50">
        <f t="shared" si="19"/>
        <v>0</v>
      </c>
      <c r="F79" s="48"/>
      <c r="G79" s="51">
        <f t="shared" si="20"/>
        <v>0</v>
      </c>
      <c r="H79" s="43"/>
      <c r="I79" s="44"/>
      <c r="J79" s="54"/>
      <c r="K79" s="48"/>
      <c r="L79" s="48"/>
      <c r="M79" s="48"/>
      <c r="N79" s="48"/>
      <c r="O79" s="48"/>
      <c r="P79" s="48"/>
      <c r="Q79" s="48"/>
      <c r="R79" s="48"/>
      <c r="S79" s="58">
        <f>IF(B79="",0,SUM(K79:R79)+SUMIFS('DESPESAS CASA'!$D$6:$D$305,'DESPESAS CASA'!$E$6:$E$305,A79))-P79</f>
        <v>0</v>
      </c>
      <c r="T79" s="51">
        <f t="shared" si="21"/>
        <v>0</v>
      </c>
      <c r="U79" s="51">
        <f t="shared" si="22"/>
        <v>0</v>
      </c>
      <c r="V79" s="51">
        <f t="shared" si="23"/>
        <v>0</v>
      </c>
      <c r="W79" s="52">
        <f t="shared" si="24"/>
        <v>0</v>
      </c>
      <c r="X79" s="48"/>
      <c r="Y79" s="58">
        <f t="shared" si="25"/>
        <v>0</v>
      </c>
      <c r="Z79" s="49" t="str">
        <f t="shared" si="26"/>
        <v/>
      </c>
      <c r="AA79" s="64"/>
      <c r="AB79" s="94"/>
      <c r="AE79" s="97" t="str">
        <f t="shared" si="27"/>
        <v/>
      </c>
    </row>
    <row r="80" spans="1:31" ht="15.75">
      <c r="A80" s="62" t="str">
        <f t="shared" si="18"/>
        <v/>
      </c>
      <c r="B80" s="44"/>
      <c r="C80" s="46"/>
      <c r="D80" s="46"/>
      <c r="E80" s="50">
        <f t="shared" si="19"/>
        <v>0</v>
      </c>
      <c r="F80" s="48"/>
      <c r="G80" s="51">
        <f t="shared" si="20"/>
        <v>0</v>
      </c>
      <c r="H80" s="43"/>
      <c r="I80" s="44"/>
      <c r="J80" s="54"/>
      <c r="K80" s="48"/>
      <c r="L80" s="48"/>
      <c r="M80" s="48"/>
      <c r="N80" s="48"/>
      <c r="O80" s="48"/>
      <c r="P80" s="48"/>
      <c r="Q80" s="48"/>
      <c r="R80" s="48"/>
      <c r="S80" s="58">
        <f>IF(B80="",0,SUM(K80:R80)+SUMIFS('DESPESAS CASA'!$D$6:$D$305,'DESPESAS CASA'!$E$6:$E$305,A80))-P80</f>
        <v>0</v>
      </c>
      <c r="T80" s="51">
        <f t="shared" si="21"/>
        <v>0</v>
      </c>
      <c r="U80" s="51">
        <f t="shared" si="22"/>
        <v>0</v>
      </c>
      <c r="V80" s="51">
        <f t="shared" si="23"/>
        <v>0</v>
      </c>
      <c r="W80" s="52">
        <f t="shared" si="24"/>
        <v>0</v>
      </c>
      <c r="X80" s="48"/>
      <c r="Y80" s="58">
        <f t="shared" si="25"/>
        <v>0</v>
      </c>
      <c r="Z80" s="49" t="str">
        <f t="shared" si="26"/>
        <v/>
      </c>
      <c r="AA80" s="64"/>
      <c r="AB80" s="94"/>
      <c r="AE80" s="97" t="str">
        <f t="shared" si="27"/>
        <v/>
      </c>
    </row>
    <row r="81" spans="1:31" ht="15.75">
      <c r="A81" s="62" t="str">
        <f t="shared" si="18"/>
        <v/>
      </c>
      <c r="B81" s="44"/>
      <c r="C81" s="46"/>
      <c r="D81" s="46"/>
      <c r="E81" s="50">
        <f t="shared" si="19"/>
        <v>0</v>
      </c>
      <c r="F81" s="48"/>
      <c r="G81" s="51">
        <f t="shared" si="20"/>
        <v>0</v>
      </c>
      <c r="H81" s="43"/>
      <c r="I81" s="44"/>
      <c r="J81" s="54"/>
      <c r="K81" s="48"/>
      <c r="L81" s="48"/>
      <c r="M81" s="48"/>
      <c r="N81" s="48"/>
      <c r="O81" s="48"/>
      <c r="P81" s="48"/>
      <c r="Q81" s="48"/>
      <c r="R81" s="48"/>
      <c r="S81" s="58">
        <f>IF(B81="",0,SUM(K81:R81)+SUMIFS('DESPESAS CASA'!$D$6:$D$305,'DESPESAS CASA'!$E$6:$E$305,A81))-P81</f>
        <v>0</v>
      </c>
      <c r="T81" s="51">
        <f t="shared" si="21"/>
        <v>0</v>
      </c>
      <c r="U81" s="51">
        <f t="shared" si="22"/>
        <v>0</v>
      </c>
      <c r="V81" s="51">
        <f t="shared" si="23"/>
        <v>0</v>
      </c>
      <c r="W81" s="52">
        <f t="shared" si="24"/>
        <v>0</v>
      </c>
      <c r="X81" s="48"/>
      <c r="Y81" s="58">
        <f t="shared" si="25"/>
        <v>0</v>
      </c>
      <c r="Z81" s="49" t="str">
        <f t="shared" si="26"/>
        <v/>
      </c>
      <c r="AA81" s="64"/>
      <c r="AB81" s="94"/>
      <c r="AE81" s="97" t="str">
        <f t="shared" si="27"/>
        <v/>
      </c>
    </row>
    <row r="82" spans="1:31" ht="15.75">
      <c r="A82" s="62" t="str">
        <f t="shared" si="18"/>
        <v/>
      </c>
      <c r="B82" s="44"/>
      <c r="C82" s="46"/>
      <c r="D82" s="46"/>
      <c r="E82" s="50">
        <f t="shared" si="19"/>
        <v>0</v>
      </c>
      <c r="F82" s="48"/>
      <c r="G82" s="51">
        <f t="shared" si="20"/>
        <v>0</v>
      </c>
      <c r="H82" s="43"/>
      <c r="I82" s="44"/>
      <c r="J82" s="54"/>
      <c r="K82" s="48"/>
      <c r="L82" s="48"/>
      <c r="M82" s="48"/>
      <c r="N82" s="48"/>
      <c r="O82" s="48"/>
      <c r="P82" s="48"/>
      <c r="Q82" s="48"/>
      <c r="R82" s="48"/>
      <c r="S82" s="58">
        <f>IF(B82="",0,SUM(K82:R82)+SUMIFS('DESPESAS CASA'!$D$6:$D$305,'DESPESAS CASA'!$E$6:$E$305,A82))-P82</f>
        <v>0</v>
      </c>
      <c r="T82" s="51">
        <f t="shared" si="21"/>
        <v>0</v>
      </c>
      <c r="U82" s="51">
        <f t="shared" si="22"/>
        <v>0</v>
      </c>
      <c r="V82" s="51">
        <f t="shared" si="23"/>
        <v>0</v>
      </c>
      <c r="W82" s="52">
        <f t="shared" si="24"/>
        <v>0</v>
      </c>
      <c r="X82" s="48"/>
      <c r="Y82" s="58">
        <f t="shared" si="25"/>
        <v>0</v>
      </c>
      <c r="Z82" s="49" t="str">
        <f t="shared" si="26"/>
        <v/>
      </c>
      <c r="AA82" s="64"/>
      <c r="AB82" s="94"/>
      <c r="AE82" s="97" t="str">
        <f t="shared" si="27"/>
        <v/>
      </c>
    </row>
    <row r="83" spans="1:31" ht="15.75">
      <c r="A83" s="62" t="str">
        <f t="shared" si="18"/>
        <v/>
      </c>
      <c r="B83" s="44"/>
      <c r="C83" s="46"/>
      <c r="D83" s="46"/>
      <c r="E83" s="50">
        <f t="shared" si="19"/>
        <v>0</v>
      </c>
      <c r="F83" s="48"/>
      <c r="G83" s="51">
        <f t="shared" si="20"/>
        <v>0</v>
      </c>
      <c r="H83" s="43"/>
      <c r="I83" s="44"/>
      <c r="J83" s="54"/>
      <c r="K83" s="48"/>
      <c r="L83" s="48"/>
      <c r="M83" s="48"/>
      <c r="N83" s="48"/>
      <c r="O83" s="48"/>
      <c r="P83" s="48"/>
      <c r="Q83" s="48"/>
      <c r="R83" s="48"/>
      <c r="S83" s="58">
        <f>IF(B83="",0,SUM(K83:R83)+SUMIFS('DESPESAS CASA'!$D$6:$D$305,'DESPESAS CASA'!$E$6:$E$305,A83))-P83</f>
        <v>0</v>
      </c>
      <c r="T83" s="51">
        <f t="shared" si="21"/>
        <v>0</v>
      </c>
      <c r="U83" s="51">
        <f t="shared" si="22"/>
        <v>0</v>
      </c>
      <c r="V83" s="51">
        <f t="shared" si="23"/>
        <v>0</v>
      </c>
      <c r="W83" s="52">
        <f t="shared" si="24"/>
        <v>0</v>
      </c>
      <c r="X83" s="48"/>
      <c r="Y83" s="58">
        <f t="shared" si="25"/>
        <v>0</v>
      </c>
      <c r="Z83" s="49" t="str">
        <f t="shared" si="26"/>
        <v/>
      </c>
      <c r="AA83" s="64"/>
      <c r="AB83" s="94"/>
      <c r="AE83" s="97" t="str">
        <f t="shared" si="27"/>
        <v/>
      </c>
    </row>
    <row r="84" spans="1:31" ht="15.75">
      <c r="A84" s="62" t="str">
        <f t="shared" si="18"/>
        <v/>
      </c>
      <c r="B84" s="44"/>
      <c r="C84" s="46"/>
      <c r="D84" s="46"/>
      <c r="E84" s="50">
        <f t="shared" si="19"/>
        <v>0</v>
      </c>
      <c r="F84" s="48"/>
      <c r="G84" s="51">
        <f t="shared" si="20"/>
        <v>0</v>
      </c>
      <c r="H84" s="43"/>
      <c r="I84" s="44"/>
      <c r="J84" s="54"/>
      <c r="K84" s="48"/>
      <c r="L84" s="48"/>
      <c r="M84" s="48"/>
      <c r="N84" s="48"/>
      <c r="O84" s="48"/>
      <c r="P84" s="48"/>
      <c r="Q84" s="48"/>
      <c r="R84" s="48"/>
      <c r="S84" s="58">
        <f>IF(B84="",0,SUM(K84:R84)+SUMIFS('DESPESAS CASA'!$D$6:$D$305,'DESPESAS CASA'!$E$6:$E$305,A84))-P84</f>
        <v>0</v>
      </c>
      <c r="T84" s="51">
        <f t="shared" si="21"/>
        <v>0</v>
      </c>
      <c r="U84" s="51">
        <f t="shared" si="22"/>
        <v>0</v>
      </c>
      <c r="V84" s="51">
        <f t="shared" si="23"/>
        <v>0</v>
      </c>
      <c r="W84" s="52">
        <f t="shared" si="24"/>
        <v>0</v>
      </c>
      <c r="X84" s="48"/>
      <c r="Y84" s="58">
        <f t="shared" si="25"/>
        <v>0</v>
      </c>
      <c r="Z84" s="49" t="str">
        <f t="shared" si="26"/>
        <v/>
      </c>
      <c r="AA84" s="64"/>
      <c r="AB84" s="94"/>
      <c r="AE84" s="97" t="str">
        <f t="shared" si="27"/>
        <v/>
      </c>
    </row>
    <row r="85" spans="1:31" ht="15.75">
      <c r="A85" s="62" t="str">
        <f t="shared" si="18"/>
        <v/>
      </c>
      <c r="B85" s="44"/>
      <c r="C85" s="46"/>
      <c r="D85" s="46"/>
      <c r="E85" s="50">
        <f t="shared" si="19"/>
        <v>0</v>
      </c>
      <c r="F85" s="48"/>
      <c r="G85" s="51">
        <f t="shared" si="20"/>
        <v>0</v>
      </c>
      <c r="H85" s="43"/>
      <c r="I85" s="44"/>
      <c r="J85" s="54"/>
      <c r="K85" s="48"/>
      <c r="L85" s="48"/>
      <c r="M85" s="48"/>
      <c r="N85" s="48"/>
      <c r="O85" s="48"/>
      <c r="P85" s="48"/>
      <c r="Q85" s="48"/>
      <c r="R85" s="48"/>
      <c r="S85" s="58">
        <f>IF(B85="",0,SUM(K85:R85)+SUMIFS('DESPESAS CASA'!$D$6:$D$305,'DESPESAS CASA'!$E$6:$E$305,A85))-P85</f>
        <v>0</v>
      </c>
      <c r="T85" s="51">
        <f t="shared" si="21"/>
        <v>0</v>
      </c>
      <c r="U85" s="51">
        <f t="shared" si="22"/>
        <v>0</v>
      </c>
      <c r="V85" s="51">
        <f t="shared" si="23"/>
        <v>0</v>
      </c>
      <c r="W85" s="52">
        <f t="shared" si="24"/>
        <v>0</v>
      </c>
      <c r="X85" s="48"/>
      <c r="Y85" s="58">
        <f t="shared" si="25"/>
        <v>0</v>
      </c>
      <c r="Z85" s="49" t="str">
        <f t="shared" si="26"/>
        <v/>
      </c>
      <c r="AA85" s="64"/>
      <c r="AB85" s="94"/>
      <c r="AE85" s="97" t="str">
        <f t="shared" si="27"/>
        <v/>
      </c>
    </row>
    <row r="86" spans="1:31" ht="15.75">
      <c r="A86" s="62" t="str">
        <f t="shared" si="18"/>
        <v/>
      </c>
      <c r="B86" s="44"/>
      <c r="C86" s="46"/>
      <c r="D86" s="46"/>
      <c r="E86" s="50">
        <f t="shared" si="19"/>
        <v>0</v>
      </c>
      <c r="F86" s="48"/>
      <c r="G86" s="51">
        <f t="shared" si="20"/>
        <v>0</v>
      </c>
      <c r="H86" s="43"/>
      <c r="I86" s="44"/>
      <c r="J86" s="54"/>
      <c r="K86" s="48"/>
      <c r="L86" s="48"/>
      <c r="M86" s="48"/>
      <c r="N86" s="48"/>
      <c r="O86" s="48"/>
      <c r="P86" s="48"/>
      <c r="Q86" s="48"/>
      <c r="R86" s="48"/>
      <c r="S86" s="58">
        <f>IF(B86="",0,SUM(K86:R86)+SUMIFS('DESPESAS CASA'!$D$6:$D$305,'DESPESAS CASA'!$E$6:$E$305,A86))-P86</f>
        <v>0</v>
      </c>
      <c r="T86" s="51">
        <f t="shared" si="21"/>
        <v>0</v>
      </c>
      <c r="U86" s="51">
        <f t="shared" si="22"/>
        <v>0</v>
      </c>
      <c r="V86" s="51">
        <f t="shared" si="23"/>
        <v>0</v>
      </c>
      <c r="W86" s="52">
        <f t="shared" si="24"/>
        <v>0</v>
      </c>
      <c r="X86" s="48"/>
      <c r="Y86" s="58">
        <f t="shared" si="25"/>
        <v>0</v>
      </c>
      <c r="Z86" s="49" t="str">
        <f t="shared" si="26"/>
        <v/>
      </c>
      <c r="AA86" s="64"/>
      <c r="AB86" s="94"/>
      <c r="AE86" s="97" t="str">
        <f t="shared" si="27"/>
        <v/>
      </c>
    </row>
    <row r="87" spans="1:31" ht="15.75">
      <c r="A87" s="62" t="str">
        <f t="shared" si="18"/>
        <v/>
      </c>
      <c r="B87" s="44"/>
      <c r="C87" s="46"/>
      <c r="D87" s="46"/>
      <c r="E87" s="50">
        <f t="shared" si="19"/>
        <v>0</v>
      </c>
      <c r="F87" s="48"/>
      <c r="G87" s="51">
        <f t="shared" si="20"/>
        <v>0</v>
      </c>
      <c r="H87" s="43"/>
      <c r="I87" s="44"/>
      <c r="J87" s="54"/>
      <c r="K87" s="48"/>
      <c r="L87" s="48"/>
      <c r="M87" s="48"/>
      <c r="N87" s="48"/>
      <c r="O87" s="48"/>
      <c r="P87" s="48"/>
      <c r="Q87" s="48"/>
      <c r="R87" s="48"/>
      <c r="S87" s="58">
        <f>IF(B87="",0,SUM(K87:R87)+SUMIFS('DESPESAS CASA'!$D$6:$D$305,'DESPESAS CASA'!$E$6:$E$305,A87))-P87</f>
        <v>0</v>
      </c>
      <c r="T87" s="51">
        <f t="shared" si="21"/>
        <v>0</v>
      </c>
      <c r="U87" s="51">
        <f t="shared" si="22"/>
        <v>0</v>
      </c>
      <c r="V87" s="51">
        <f t="shared" si="23"/>
        <v>0</v>
      </c>
      <c r="W87" s="52">
        <f t="shared" si="24"/>
        <v>0</v>
      </c>
      <c r="X87" s="48"/>
      <c r="Y87" s="58">
        <f t="shared" si="25"/>
        <v>0</v>
      </c>
      <c r="Z87" s="49" t="str">
        <f t="shared" si="26"/>
        <v/>
      </c>
      <c r="AA87" s="64"/>
      <c r="AB87" s="94"/>
      <c r="AE87" s="97" t="str">
        <f t="shared" si="27"/>
        <v/>
      </c>
    </row>
    <row r="88" spans="1:31" ht="15.75">
      <c r="A88" s="62" t="str">
        <f t="shared" si="18"/>
        <v/>
      </c>
      <c r="B88" s="44"/>
      <c r="C88" s="46"/>
      <c r="D88" s="46"/>
      <c r="E88" s="50">
        <f t="shared" si="19"/>
        <v>0</v>
      </c>
      <c r="F88" s="48"/>
      <c r="G88" s="51">
        <f t="shared" si="20"/>
        <v>0</v>
      </c>
      <c r="H88" s="43"/>
      <c r="I88" s="44"/>
      <c r="J88" s="54"/>
      <c r="K88" s="48"/>
      <c r="L88" s="48"/>
      <c r="M88" s="48"/>
      <c r="N88" s="48"/>
      <c r="O88" s="48"/>
      <c r="P88" s="48"/>
      <c r="Q88" s="48"/>
      <c r="R88" s="48"/>
      <c r="S88" s="58">
        <f>IF(B88="",0,SUM(K88:R88)+SUMIFS('DESPESAS CASA'!$D$6:$D$305,'DESPESAS CASA'!$E$6:$E$305,A88))-P88</f>
        <v>0</v>
      </c>
      <c r="T88" s="51">
        <f t="shared" si="21"/>
        <v>0</v>
      </c>
      <c r="U88" s="51">
        <f t="shared" si="22"/>
        <v>0</v>
      </c>
      <c r="V88" s="51">
        <f t="shared" si="23"/>
        <v>0</v>
      </c>
      <c r="W88" s="52">
        <f t="shared" si="24"/>
        <v>0</v>
      </c>
      <c r="X88" s="48"/>
      <c r="Y88" s="58">
        <f t="shared" si="25"/>
        <v>0</v>
      </c>
      <c r="Z88" s="49" t="str">
        <f t="shared" si="26"/>
        <v/>
      </c>
      <c r="AA88" s="64"/>
      <c r="AB88" s="94"/>
      <c r="AE88" s="97" t="str">
        <f t="shared" si="27"/>
        <v/>
      </c>
    </row>
    <row r="89" spans="1:31" ht="15.75">
      <c r="A89" s="62" t="str">
        <f t="shared" si="18"/>
        <v/>
      </c>
      <c r="B89" s="44"/>
      <c r="C89" s="46"/>
      <c r="D89" s="46"/>
      <c r="E89" s="50">
        <f t="shared" si="19"/>
        <v>0</v>
      </c>
      <c r="F89" s="48"/>
      <c r="G89" s="51">
        <f t="shared" si="20"/>
        <v>0</v>
      </c>
      <c r="H89" s="43"/>
      <c r="I89" s="44"/>
      <c r="J89" s="54"/>
      <c r="K89" s="48"/>
      <c r="L89" s="48"/>
      <c r="M89" s="48"/>
      <c r="N89" s="48"/>
      <c r="O89" s="48"/>
      <c r="P89" s="48"/>
      <c r="Q89" s="48"/>
      <c r="R89" s="48"/>
      <c r="S89" s="58">
        <f>IF(B89="",0,SUM(K89:R89)+SUMIFS('DESPESAS CASA'!$D$6:$D$305,'DESPESAS CASA'!$E$6:$E$305,A89))-P89</f>
        <v>0</v>
      </c>
      <c r="T89" s="51">
        <f t="shared" si="21"/>
        <v>0</v>
      </c>
      <c r="U89" s="51">
        <f t="shared" si="22"/>
        <v>0</v>
      </c>
      <c r="V89" s="51">
        <f t="shared" si="23"/>
        <v>0</v>
      </c>
      <c r="W89" s="52">
        <f t="shared" si="24"/>
        <v>0</v>
      </c>
      <c r="X89" s="48"/>
      <c r="Y89" s="58">
        <f t="shared" si="25"/>
        <v>0</v>
      </c>
      <c r="Z89" s="49" t="str">
        <f t="shared" si="26"/>
        <v/>
      </c>
      <c r="AA89" s="64"/>
      <c r="AB89" s="94"/>
      <c r="AE89" s="97" t="str">
        <f t="shared" si="27"/>
        <v/>
      </c>
    </row>
    <row r="90" spans="1:31" ht="15.75">
      <c r="A90" s="62" t="str">
        <f t="shared" si="18"/>
        <v/>
      </c>
      <c r="B90" s="44"/>
      <c r="C90" s="46"/>
      <c r="D90" s="46"/>
      <c r="E90" s="50">
        <f t="shared" si="19"/>
        <v>0</v>
      </c>
      <c r="F90" s="48"/>
      <c r="G90" s="51">
        <f t="shared" si="20"/>
        <v>0</v>
      </c>
      <c r="H90" s="43"/>
      <c r="I90" s="44"/>
      <c r="J90" s="54"/>
      <c r="K90" s="48"/>
      <c r="L90" s="48"/>
      <c r="M90" s="48"/>
      <c r="N90" s="48"/>
      <c r="O90" s="48"/>
      <c r="P90" s="48"/>
      <c r="Q90" s="48"/>
      <c r="R90" s="48"/>
      <c r="S90" s="58">
        <f>IF(B90="",0,SUM(K90:R90)+SUMIFS('DESPESAS CASA'!$D$6:$D$305,'DESPESAS CASA'!$E$6:$E$305,A90))-P90</f>
        <v>0</v>
      </c>
      <c r="T90" s="51">
        <f t="shared" si="21"/>
        <v>0</v>
      </c>
      <c r="U90" s="51">
        <f t="shared" si="22"/>
        <v>0</v>
      </c>
      <c r="V90" s="51">
        <f t="shared" si="23"/>
        <v>0</v>
      </c>
      <c r="W90" s="52">
        <f t="shared" si="24"/>
        <v>0</v>
      </c>
      <c r="X90" s="48"/>
      <c r="Y90" s="58">
        <f t="shared" si="25"/>
        <v>0</v>
      </c>
      <c r="Z90" s="49" t="str">
        <f t="shared" si="26"/>
        <v/>
      </c>
      <c r="AA90" s="64"/>
      <c r="AB90" s="94"/>
      <c r="AE90" s="97" t="str">
        <f t="shared" si="27"/>
        <v/>
      </c>
    </row>
    <row r="91" spans="1:31" ht="15.75">
      <c r="A91" s="62" t="str">
        <f t="shared" si="18"/>
        <v/>
      </c>
      <c r="B91" s="44"/>
      <c r="C91" s="46"/>
      <c r="D91" s="46"/>
      <c r="E91" s="50">
        <f t="shared" si="19"/>
        <v>0</v>
      </c>
      <c r="F91" s="48"/>
      <c r="G91" s="51">
        <f t="shared" si="20"/>
        <v>0</v>
      </c>
      <c r="H91" s="43"/>
      <c r="I91" s="44"/>
      <c r="J91" s="54"/>
      <c r="K91" s="48"/>
      <c r="L91" s="48"/>
      <c r="M91" s="48"/>
      <c r="N91" s="48"/>
      <c r="O91" s="48"/>
      <c r="P91" s="48"/>
      <c r="Q91" s="48"/>
      <c r="R91" s="48"/>
      <c r="S91" s="58">
        <f>IF(B91="",0,SUM(K91:R91)+SUMIFS('DESPESAS CASA'!$D$6:$D$305,'DESPESAS CASA'!$E$6:$E$305,A91))-P91</f>
        <v>0</v>
      </c>
      <c r="T91" s="51">
        <f t="shared" si="21"/>
        <v>0</v>
      </c>
      <c r="U91" s="51">
        <f t="shared" si="22"/>
        <v>0</v>
      </c>
      <c r="V91" s="51">
        <f t="shared" si="23"/>
        <v>0</v>
      </c>
      <c r="W91" s="52">
        <f t="shared" si="24"/>
        <v>0</v>
      </c>
      <c r="X91" s="48"/>
      <c r="Y91" s="58">
        <f t="shared" si="25"/>
        <v>0</v>
      </c>
      <c r="Z91" s="49" t="str">
        <f t="shared" si="26"/>
        <v/>
      </c>
      <c r="AA91" s="64"/>
      <c r="AB91" s="94"/>
      <c r="AE91" s="97" t="str">
        <f t="shared" si="27"/>
        <v/>
      </c>
    </row>
    <row r="92" spans="1:31" ht="15.75">
      <c r="A92" s="62" t="str">
        <f t="shared" si="18"/>
        <v/>
      </c>
      <c r="B92" s="44"/>
      <c r="C92" s="46"/>
      <c r="D92" s="46"/>
      <c r="E92" s="50">
        <f t="shared" si="19"/>
        <v>0</v>
      </c>
      <c r="F92" s="48"/>
      <c r="G92" s="51">
        <f t="shared" si="20"/>
        <v>0</v>
      </c>
      <c r="H92" s="43"/>
      <c r="I92" s="44"/>
      <c r="J92" s="54"/>
      <c r="K92" s="48"/>
      <c r="L92" s="48"/>
      <c r="M92" s="48"/>
      <c r="N92" s="48"/>
      <c r="O92" s="48"/>
      <c r="P92" s="48"/>
      <c r="Q92" s="48"/>
      <c r="R92" s="48"/>
      <c r="S92" s="58">
        <f>IF(B92="",0,SUM(K92:R92)+SUMIFS('DESPESAS CASA'!$D$6:$D$305,'DESPESAS CASA'!$E$6:$E$305,A92))-P92</f>
        <v>0</v>
      </c>
      <c r="T92" s="51">
        <f t="shared" si="21"/>
        <v>0</v>
      </c>
      <c r="U92" s="51">
        <f t="shared" si="22"/>
        <v>0</v>
      </c>
      <c r="V92" s="51">
        <f t="shared" si="23"/>
        <v>0</v>
      </c>
      <c r="W92" s="52">
        <f t="shared" si="24"/>
        <v>0</v>
      </c>
      <c r="X92" s="48"/>
      <c r="Y92" s="58">
        <f t="shared" si="25"/>
        <v>0</v>
      </c>
      <c r="Z92" s="49" t="str">
        <f t="shared" si="26"/>
        <v/>
      </c>
      <c r="AA92" s="64"/>
      <c r="AB92" s="94"/>
      <c r="AE92" s="97" t="str">
        <f t="shared" si="27"/>
        <v/>
      </c>
    </row>
    <row r="93" spans="1:31" ht="15.75">
      <c r="A93" s="62" t="str">
        <f t="shared" si="18"/>
        <v/>
      </c>
      <c r="B93" s="44"/>
      <c r="C93" s="46"/>
      <c r="D93" s="46"/>
      <c r="E93" s="50">
        <f t="shared" si="19"/>
        <v>0</v>
      </c>
      <c r="F93" s="48"/>
      <c r="G93" s="51">
        <f t="shared" si="20"/>
        <v>0</v>
      </c>
      <c r="H93" s="43"/>
      <c r="I93" s="44"/>
      <c r="J93" s="54"/>
      <c r="K93" s="48"/>
      <c r="L93" s="48"/>
      <c r="M93" s="48"/>
      <c r="N93" s="48"/>
      <c r="O93" s="48"/>
      <c r="P93" s="48"/>
      <c r="Q93" s="48"/>
      <c r="R93" s="48"/>
      <c r="S93" s="58">
        <f>IF(B93="",0,SUM(K93:R93)+SUMIFS('DESPESAS CASA'!$D$6:$D$305,'DESPESAS CASA'!$E$6:$E$305,A93))-P93</f>
        <v>0</v>
      </c>
      <c r="T93" s="51">
        <f t="shared" si="21"/>
        <v>0</v>
      </c>
      <c r="U93" s="51">
        <f t="shared" si="22"/>
        <v>0</v>
      </c>
      <c r="V93" s="51">
        <f t="shared" si="23"/>
        <v>0</v>
      </c>
      <c r="W93" s="52">
        <f t="shared" si="24"/>
        <v>0</v>
      </c>
      <c r="X93" s="48"/>
      <c r="Y93" s="58">
        <f t="shared" si="25"/>
        <v>0</v>
      </c>
      <c r="Z93" s="49" t="str">
        <f t="shared" si="26"/>
        <v/>
      </c>
      <c r="AA93" s="64"/>
      <c r="AB93" s="94"/>
      <c r="AE93" s="97" t="str">
        <f t="shared" si="27"/>
        <v/>
      </c>
    </row>
    <row r="94" spans="1:31" ht="15.75">
      <c r="A94" s="62" t="str">
        <f t="shared" si="18"/>
        <v/>
      </c>
      <c r="B94" s="44"/>
      <c r="C94" s="46"/>
      <c r="D94" s="46"/>
      <c r="E94" s="50">
        <f t="shared" si="19"/>
        <v>0</v>
      </c>
      <c r="F94" s="48"/>
      <c r="G94" s="51">
        <f t="shared" si="20"/>
        <v>0</v>
      </c>
      <c r="H94" s="43"/>
      <c r="I94" s="44"/>
      <c r="J94" s="54"/>
      <c r="K94" s="48"/>
      <c r="L94" s="48"/>
      <c r="M94" s="48"/>
      <c r="N94" s="48"/>
      <c r="O94" s="48"/>
      <c r="P94" s="48"/>
      <c r="Q94" s="48"/>
      <c r="R94" s="48"/>
      <c r="S94" s="58">
        <f>IF(B94="",0,SUM(K94:R94)+SUMIFS('DESPESAS CASA'!$D$6:$D$305,'DESPESAS CASA'!$E$6:$E$305,A94))-P94</f>
        <v>0</v>
      </c>
      <c r="T94" s="51">
        <f t="shared" si="21"/>
        <v>0</v>
      </c>
      <c r="U94" s="51">
        <f t="shared" si="22"/>
        <v>0</v>
      </c>
      <c r="V94" s="51">
        <f t="shared" si="23"/>
        <v>0</v>
      </c>
      <c r="W94" s="52">
        <f t="shared" si="24"/>
        <v>0</v>
      </c>
      <c r="X94" s="48"/>
      <c r="Y94" s="58">
        <f t="shared" si="25"/>
        <v>0</v>
      </c>
      <c r="Z94" s="49" t="str">
        <f t="shared" si="26"/>
        <v/>
      </c>
      <c r="AA94" s="64"/>
      <c r="AB94" s="94"/>
      <c r="AE94" s="97" t="str">
        <f t="shared" si="27"/>
        <v/>
      </c>
    </row>
    <row r="95" spans="1:31" ht="15.75">
      <c r="A95" s="62" t="str">
        <f t="shared" si="18"/>
        <v/>
      </c>
      <c r="B95" s="44"/>
      <c r="C95" s="46"/>
      <c r="D95" s="46"/>
      <c r="E95" s="50">
        <f t="shared" si="19"/>
        <v>0</v>
      </c>
      <c r="F95" s="48"/>
      <c r="G95" s="51">
        <f t="shared" si="20"/>
        <v>0</v>
      </c>
      <c r="H95" s="43"/>
      <c r="I95" s="44"/>
      <c r="J95" s="54"/>
      <c r="K95" s="48"/>
      <c r="L95" s="48"/>
      <c r="M95" s="48"/>
      <c r="N95" s="48"/>
      <c r="O95" s="48"/>
      <c r="P95" s="48"/>
      <c r="Q95" s="48"/>
      <c r="R95" s="48"/>
      <c r="S95" s="58">
        <f>IF(B95="",0,SUM(K95:R95)+SUMIFS('DESPESAS CASA'!$D$6:$D$305,'DESPESAS CASA'!$E$6:$E$305,A95))-P95</f>
        <v>0</v>
      </c>
      <c r="T95" s="51">
        <f t="shared" si="21"/>
        <v>0</v>
      </c>
      <c r="U95" s="51">
        <f t="shared" si="22"/>
        <v>0</v>
      </c>
      <c r="V95" s="51">
        <f t="shared" si="23"/>
        <v>0</v>
      </c>
      <c r="W95" s="52">
        <f t="shared" si="24"/>
        <v>0</v>
      </c>
      <c r="X95" s="48"/>
      <c r="Y95" s="58">
        <f t="shared" si="25"/>
        <v>0</v>
      </c>
      <c r="Z95" s="49" t="str">
        <f t="shared" si="26"/>
        <v/>
      </c>
      <c r="AA95" s="64"/>
      <c r="AB95" s="94"/>
      <c r="AE95" s="97" t="str">
        <f t="shared" si="27"/>
        <v/>
      </c>
    </row>
    <row r="96" spans="1:31" ht="15.75">
      <c r="A96" s="62" t="str">
        <f t="shared" si="18"/>
        <v/>
      </c>
      <c r="B96" s="44"/>
      <c r="C96" s="46"/>
      <c r="D96" s="46"/>
      <c r="E96" s="50">
        <f t="shared" si="19"/>
        <v>0</v>
      </c>
      <c r="F96" s="48"/>
      <c r="G96" s="51">
        <f t="shared" si="20"/>
        <v>0</v>
      </c>
      <c r="H96" s="43"/>
      <c r="I96" s="44"/>
      <c r="J96" s="54"/>
      <c r="K96" s="48"/>
      <c r="L96" s="48"/>
      <c r="M96" s="48"/>
      <c r="N96" s="48"/>
      <c r="O96" s="48"/>
      <c r="P96" s="48"/>
      <c r="Q96" s="48"/>
      <c r="R96" s="48"/>
      <c r="S96" s="58">
        <f>IF(B96="",0,SUM(K96:R96)+SUMIFS('DESPESAS CASA'!$D$6:$D$305,'DESPESAS CASA'!$E$6:$E$305,A96))-P96</f>
        <v>0</v>
      </c>
      <c r="T96" s="51">
        <f t="shared" si="21"/>
        <v>0</v>
      </c>
      <c r="U96" s="51">
        <f t="shared" si="22"/>
        <v>0</v>
      </c>
      <c r="V96" s="51">
        <f t="shared" si="23"/>
        <v>0</v>
      </c>
      <c r="W96" s="52">
        <f t="shared" si="24"/>
        <v>0</v>
      </c>
      <c r="X96" s="48"/>
      <c r="Y96" s="58">
        <f t="shared" si="25"/>
        <v>0</v>
      </c>
      <c r="Z96" s="49" t="str">
        <f t="shared" si="26"/>
        <v/>
      </c>
      <c r="AA96" s="64"/>
      <c r="AB96" s="94"/>
      <c r="AE96" s="97" t="str">
        <f t="shared" si="27"/>
        <v/>
      </c>
    </row>
    <row r="97" spans="1:31" ht="15.75">
      <c r="A97" s="62" t="str">
        <f t="shared" si="18"/>
        <v/>
      </c>
      <c r="B97" s="44"/>
      <c r="C97" s="46"/>
      <c r="D97" s="46"/>
      <c r="E97" s="50">
        <f t="shared" si="19"/>
        <v>0</v>
      </c>
      <c r="F97" s="48"/>
      <c r="G97" s="51">
        <f t="shared" si="20"/>
        <v>0</v>
      </c>
      <c r="H97" s="43"/>
      <c r="I97" s="44"/>
      <c r="J97" s="54"/>
      <c r="K97" s="48"/>
      <c r="L97" s="48"/>
      <c r="M97" s="48"/>
      <c r="N97" s="48"/>
      <c r="O97" s="48"/>
      <c r="P97" s="48"/>
      <c r="Q97" s="48"/>
      <c r="R97" s="48"/>
      <c r="S97" s="58">
        <f>IF(B97="",0,SUM(K97:R97)+SUMIFS('DESPESAS CASA'!$D$6:$D$305,'DESPESAS CASA'!$E$6:$E$305,A97))-P97</f>
        <v>0</v>
      </c>
      <c r="T97" s="51">
        <f t="shared" si="21"/>
        <v>0</v>
      </c>
      <c r="U97" s="51">
        <f t="shared" si="22"/>
        <v>0</v>
      </c>
      <c r="V97" s="51">
        <f t="shared" si="23"/>
        <v>0</v>
      </c>
      <c r="W97" s="52">
        <f t="shared" si="24"/>
        <v>0</v>
      </c>
      <c r="X97" s="48"/>
      <c r="Y97" s="58">
        <f t="shared" si="25"/>
        <v>0</v>
      </c>
      <c r="Z97" s="49" t="str">
        <f t="shared" si="26"/>
        <v/>
      </c>
      <c r="AA97" s="64"/>
      <c r="AB97" s="94"/>
      <c r="AE97" s="97" t="str">
        <f t="shared" si="27"/>
        <v/>
      </c>
    </row>
    <row r="98" spans="1:31" ht="15.75">
      <c r="A98" s="62" t="str">
        <f t="shared" si="18"/>
        <v/>
      </c>
      <c r="B98" s="44"/>
      <c r="C98" s="46"/>
      <c r="D98" s="46"/>
      <c r="E98" s="50">
        <f t="shared" si="19"/>
        <v>0</v>
      </c>
      <c r="F98" s="48"/>
      <c r="G98" s="51">
        <f t="shared" si="20"/>
        <v>0</v>
      </c>
      <c r="H98" s="43"/>
      <c r="I98" s="44"/>
      <c r="J98" s="54"/>
      <c r="K98" s="48"/>
      <c r="L98" s="48"/>
      <c r="M98" s="48"/>
      <c r="N98" s="48"/>
      <c r="O98" s="48"/>
      <c r="P98" s="48"/>
      <c r="Q98" s="48"/>
      <c r="R98" s="48"/>
      <c r="S98" s="58">
        <f>IF(B98="",0,SUM(K98:R98)+SUMIFS('DESPESAS CASA'!$D$6:$D$305,'DESPESAS CASA'!$E$6:$E$305,A98))-P98</f>
        <v>0</v>
      </c>
      <c r="T98" s="51">
        <f t="shared" si="21"/>
        <v>0</v>
      </c>
      <c r="U98" s="51">
        <f t="shared" si="22"/>
        <v>0</v>
      </c>
      <c r="V98" s="51">
        <f t="shared" si="23"/>
        <v>0</v>
      </c>
      <c r="W98" s="52">
        <f t="shared" si="24"/>
        <v>0</v>
      </c>
      <c r="X98" s="48"/>
      <c r="Y98" s="58">
        <f t="shared" si="25"/>
        <v>0</v>
      </c>
      <c r="Z98" s="49" t="str">
        <f t="shared" si="26"/>
        <v/>
      </c>
      <c r="AA98" s="64"/>
      <c r="AB98" s="94"/>
      <c r="AE98" s="97" t="str">
        <f t="shared" si="27"/>
        <v/>
      </c>
    </row>
    <row r="99" spans="1:31" ht="15.75">
      <c r="A99" s="62" t="str">
        <f t="shared" si="18"/>
        <v/>
      </c>
      <c r="B99" s="44"/>
      <c r="C99" s="46"/>
      <c r="D99" s="46"/>
      <c r="E99" s="50">
        <f t="shared" si="19"/>
        <v>0</v>
      </c>
      <c r="F99" s="48"/>
      <c r="G99" s="51">
        <f t="shared" si="20"/>
        <v>0</v>
      </c>
      <c r="H99" s="43"/>
      <c r="I99" s="44"/>
      <c r="J99" s="54"/>
      <c r="K99" s="48"/>
      <c r="L99" s="48"/>
      <c r="M99" s="48"/>
      <c r="N99" s="48"/>
      <c r="O99" s="48"/>
      <c r="P99" s="48"/>
      <c r="Q99" s="48"/>
      <c r="R99" s="48"/>
      <c r="S99" s="58">
        <f>IF(B99="",0,SUM(K99:R99)+SUMIFS('DESPESAS CASA'!$D$6:$D$305,'DESPESAS CASA'!$E$6:$E$305,A99))-P99</f>
        <v>0</v>
      </c>
      <c r="T99" s="51">
        <f t="shared" si="21"/>
        <v>0</v>
      </c>
      <c r="U99" s="51">
        <f t="shared" si="22"/>
        <v>0</v>
      </c>
      <c r="V99" s="51">
        <f t="shared" si="23"/>
        <v>0</v>
      </c>
      <c r="W99" s="52">
        <f t="shared" si="24"/>
        <v>0</v>
      </c>
      <c r="X99" s="48"/>
      <c r="Y99" s="58">
        <f t="shared" si="25"/>
        <v>0</v>
      </c>
      <c r="Z99" s="49" t="str">
        <f t="shared" si="26"/>
        <v/>
      </c>
      <c r="AA99" s="64"/>
      <c r="AB99" s="94"/>
      <c r="AE99" s="97" t="str">
        <f t="shared" si="27"/>
        <v/>
      </c>
    </row>
    <row r="100" spans="1:31" ht="15.75">
      <c r="A100" s="62" t="str">
        <f t="shared" ref="A100:A131" si="28">IF(B100="","","LOC-"&amp;TEXT(ROW()-5,"000"))</f>
        <v/>
      </c>
      <c r="B100" s="44"/>
      <c r="C100" s="46"/>
      <c r="D100" s="46"/>
      <c r="E100" s="50">
        <f t="shared" ref="E100:E131" si="29">IF(OR(B100="",C100="",D100=""),0,MAX(0,D100-C100))</f>
        <v>0</v>
      </c>
      <c r="F100" s="48"/>
      <c r="G100" s="51">
        <f t="shared" ref="G100:G131" si="30">IF(OR(B100="",E100=0,F100=""),0,E100*F100)</f>
        <v>0</v>
      </c>
      <c r="H100" s="43"/>
      <c r="I100" s="44"/>
      <c r="J100" s="54"/>
      <c r="K100" s="48"/>
      <c r="L100" s="48"/>
      <c r="M100" s="48"/>
      <c r="N100" s="48"/>
      <c r="O100" s="48"/>
      <c r="P100" s="48"/>
      <c r="Q100" s="48"/>
      <c r="R100" s="48"/>
      <c r="S100" s="58">
        <f>IF(B100="",0,SUM(K100:R100)+SUMIFS('DESPESAS CASA'!$D$6:$D$305,'DESPESAS CASA'!$E$6:$E$305,A100))-P100</f>
        <v>0</v>
      </c>
      <c r="T100" s="51">
        <f t="shared" ref="T100:T131" si="31">IF(OR(B100="",E100=0),0,S100/E100)</f>
        <v>0</v>
      </c>
      <c r="U100" s="51">
        <f t="shared" ref="U100:U131" si="32">IF(B100="",0,G100-S100)</f>
        <v>0</v>
      </c>
      <c r="V100" s="51">
        <f t="shared" ref="V100:V131" si="33">IF(OR(B100="",E100=0),0,U100/E100)</f>
        <v>0</v>
      </c>
      <c r="W100" s="52">
        <f t="shared" ref="W100:W131" si="34">IF(OR(B100="",G100=0),0,U100/G100)</f>
        <v>0</v>
      </c>
      <c r="X100" s="48"/>
      <c r="Y100" s="58">
        <f t="shared" si="25"/>
        <v>0</v>
      </c>
      <c r="Z100" s="49" t="str">
        <f t="shared" si="26"/>
        <v/>
      </c>
      <c r="AA100" s="64"/>
      <c r="AB100" s="94"/>
      <c r="AE100" s="97" t="str">
        <f t="shared" si="27"/>
        <v/>
      </c>
    </row>
    <row r="101" spans="1:31" ht="15.75">
      <c r="A101" s="62" t="str">
        <f t="shared" si="28"/>
        <v/>
      </c>
      <c r="B101" s="44"/>
      <c r="C101" s="46"/>
      <c r="D101" s="46"/>
      <c r="E101" s="50">
        <f t="shared" si="29"/>
        <v>0</v>
      </c>
      <c r="F101" s="48"/>
      <c r="G101" s="51">
        <f t="shared" si="30"/>
        <v>0</v>
      </c>
      <c r="H101" s="43"/>
      <c r="I101" s="44"/>
      <c r="J101" s="54"/>
      <c r="K101" s="48"/>
      <c r="L101" s="48"/>
      <c r="M101" s="48"/>
      <c r="N101" s="48"/>
      <c r="O101" s="48"/>
      <c r="P101" s="48"/>
      <c r="Q101" s="48"/>
      <c r="R101" s="48"/>
      <c r="S101" s="58">
        <f>IF(B101="",0,SUM(K101:R101)+SUMIFS('DESPESAS CASA'!$D$6:$D$305,'DESPESAS CASA'!$E$6:$E$305,A101))-P101</f>
        <v>0</v>
      </c>
      <c r="T101" s="51">
        <f t="shared" si="31"/>
        <v>0</v>
      </c>
      <c r="U101" s="51">
        <f t="shared" si="32"/>
        <v>0</v>
      </c>
      <c r="V101" s="51">
        <f t="shared" si="33"/>
        <v>0</v>
      </c>
      <c r="W101" s="52">
        <f t="shared" si="34"/>
        <v>0</v>
      </c>
      <c r="X101" s="48"/>
      <c r="Y101" s="58">
        <f t="shared" si="25"/>
        <v>0</v>
      </c>
      <c r="Z101" s="49" t="str">
        <f t="shared" si="26"/>
        <v/>
      </c>
      <c r="AA101" s="64"/>
      <c r="AB101" s="94"/>
      <c r="AE101" s="97" t="str">
        <f t="shared" si="27"/>
        <v/>
      </c>
    </row>
    <row r="102" spans="1:31" ht="15.75">
      <c r="A102" s="62" t="str">
        <f t="shared" si="28"/>
        <v/>
      </c>
      <c r="B102" s="44"/>
      <c r="C102" s="46"/>
      <c r="D102" s="46"/>
      <c r="E102" s="50">
        <f t="shared" si="29"/>
        <v>0</v>
      </c>
      <c r="F102" s="48"/>
      <c r="G102" s="51">
        <f t="shared" si="30"/>
        <v>0</v>
      </c>
      <c r="H102" s="43"/>
      <c r="I102" s="44"/>
      <c r="J102" s="54"/>
      <c r="K102" s="48"/>
      <c r="L102" s="48"/>
      <c r="M102" s="48"/>
      <c r="N102" s="48"/>
      <c r="O102" s="48"/>
      <c r="P102" s="48"/>
      <c r="Q102" s="48"/>
      <c r="R102" s="48"/>
      <c r="S102" s="58">
        <f>IF(B102="",0,SUM(K102:R102)+SUMIFS('DESPESAS CASA'!$D$6:$D$305,'DESPESAS CASA'!$E$6:$E$305,A102))-P102</f>
        <v>0</v>
      </c>
      <c r="T102" s="51">
        <f t="shared" si="31"/>
        <v>0</v>
      </c>
      <c r="U102" s="51">
        <f t="shared" si="32"/>
        <v>0</v>
      </c>
      <c r="V102" s="51">
        <f t="shared" si="33"/>
        <v>0</v>
      </c>
      <c r="W102" s="52">
        <f t="shared" si="34"/>
        <v>0</v>
      </c>
      <c r="X102" s="48"/>
      <c r="Y102" s="58">
        <f t="shared" si="25"/>
        <v>0</v>
      </c>
      <c r="Z102" s="49" t="str">
        <f t="shared" ref="Z102:Z133" si="35">IF(B102="","",IF(COUNTIFS($C$6:$C$203,"&lt;"&amp;D102,$D$6:$D$203,"&gt;"&amp;C102,$I$6:$I$203,"&lt;&gt;Cancelada",$I$6:$I$203,"&lt;&gt;Consulta",$AB$6:$AB$203,$AB102)&gt;1,"CONFLITO","OK"))</f>
        <v/>
      </c>
      <c r="AA102" s="64"/>
      <c r="AB102" s="94"/>
      <c r="AE102" s="97" t="str">
        <f t="shared" si="27"/>
        <v/>
      </c>
    </row>
    <row r="103" spans="1:31" ht="15.75">
      <c r="A103" s="62" t="str">
        <f t="shared" si="28"/>
        <v/>
      </c>
      <c r="B103" s="44"/>
      <c r="C103" s="46"/>
      <c r="D103" s="46"/>
      <c r="E103" s="50">
        <f t="shared" si="29"/>
        <v>0</v>
      </c>
      <c r="F103" s="48"/>
      <c r="G103" s="51">
        <f t="shared" si="30"/>
        <v>0</v>
      </c>
      <c r="H103" s="43"/>
      <c r="I103" s="44"/>
      <c r="J103" s="54"/>
      <c r="K103" s="48"/>
      <c r="L103" s="48"/>
      <c r="M103" s="48"/>
      <c r="N103" s="48"/>
      <c r="O103" s="48"/>
      <c r="P103" s="48"/>
      <c r="Q103" s="48"/>
      <c r="R103" s="48"/>
      <c r="S103" s="58">
        <f>IF(B103="",0,SUM(K103:R103)+SUMIFS('DESPESAS CASA'!$D$6:$D$305,'DESPESAS CASA'!$E$6:$E$305,A103))-P103</f>
        <v>0</v>
      </c>
      <c r="T103" s="51">
        <f t="shared" si="31"/>
        <v>0</v>
      </c>
      <c r="U103" s="51">
        <f t="shared" si="32"/>
        <v>0</v>
      </c>
      <c r="V103" s="51">
        <f t="shared" si="33"/>
        <v>0</v>
      </c>
      <c r="W103" s="52">
        <f t="shared" si="34"/>
        <v>0</v>
      </c>
      <c r="X103" s="48"/>
      <c r="Y103" s="58">
        <f t="shared" si="25"/>
        <v>0</v>
      </c>
      <c r="Z103" s="49" t="str">
        <f t="shared" si="35"/>
        <v/>
      </c>
      <c r="AA103" s="64"/>
      <c r="AB103" s="94"/>
      <c r="AE103" s="97" t="str">
        <f t="shared" si="27"/>
        <v/>
      </c>
    </row>
    <row r="104" spans="1:31" ht="15.75">
      <c r="A104" s="62" t="str">
        <f t="shared" si="28"/>
        <v/>
      </c>
      <c r="B104" s="44"/>
      <c r="C104" s="46"/>
      <c r="D104" s="46"/>
      <c r="E104" s="50">
        <f t="shared" si="29"/>
        <v>0</v>
      </c>
      <c r="F104" s="48"/>
      <c r="G104" s="51">
        <f t="shared" si="30"/>
        <v>0</v>
      </c>
      <c r="H104" s="43"/>
      <c r="I104" s="44"/>
      <c r="J104" s="54"/>
      <c r="K104" s="48"/>
      <c r="L104" s="48"/>
      <c r="M104" s="48"/>
      <c r="N104" s="48"/>
      <c r="O104" s="48"/>
      <c r="P104" s="48"/>
      <c r="Q104" s="48"/>
      <c r="R104" s="48"/>
      <c r="S104" s="58">
        <f>IF(B104="",0,SUM(K104:R104)+SUMIFS('DESPESAS CASA'!$D$6:$D$305,'DESPESAS CASA'!$E$6:$E$305,A104))-P104</f>
        <v>0</v>
      </c>
      <c r="T104" s="51">
        <f t="shared" si="31"/>
        <v>0</v>
      </c>
      <c r="U104" s="51">
        <f t="shared" si="32"/>
        <v>0</v>
      </c>
      <c r="V104" s="51">
        <f t="shared" si="33"/>
        <v>0</v>
      </c>
      <c r="W104" s="52">
        <f t="shared" si="34"/>
        <v>0</v>
      </c>
      <c r="X104" s="48"/>
      <c r="Y104" s="58">
        <f t="shared" si="25"/>
        <v>0</v>
      </c>
      <c r="Z104" s="49" t="str">
        <f t="shared" si="35"/>
        <v/>
      </c>
      <c r="AA104" s="64"/>
      <c r="AB104" s="94"/>
      <c r="AE104" s="97" t="str">
        <f t="shared" si="27"/>
        <v/>
      </c>
    </row>
    <row r="105" spans="1:31" ht="15.75">
      <c r="A105" s="62" t="str">
        <f t="shared" si="28"/>
        <v/>
      </c>
      <c r="B105" s="44"/>
      <c r="C105" s="46"/>
      <c r="D105" s="46"/>
      <c r="E105" s="50">
        <f t="shared" si="29"/>
        <v>0</v>
      </c>
      <c r="F105" s="48"/>
      <c r="G105" s="51">
        <f t="shared" si="30"/>
        <v>0</v>
      </c>
      <c r="H105" s="43"/>
      <c r="I105" s="44"/>
      <c r="J105" s="54"/>
      <c r="K105" s="48"/>
      <c r="L105" s="48"/>
      <c r="M105" s="48"/>
      <c r="N105" s="48"/>
      <c r="O105" s="48"/>
      <c r="P105" s="48"/>
      <c r="Q105" s="48"/>
      <c r="R105" s="48"/>
      <c r="S105" s="58">
        <f>IF(B105="",0,SUM(K105:R105)+SUMIFS('DESPESAS CASA'!$D$6:$D$305,'DESPESAS CASA'!$E$6:$E$305,A105))-P105</f>
        <v>0</v>
      </c>
      <c r="T105" s="51">
        <f t="shared" si="31"/>
        <v>0</v>
      </c>
      <c r="U105" s="51">
        <f t="shared" si="32"/>
        <v>0</v>
      </c>
      <c r="V105" s="51">
        <f t="shared" si="33"/>
        <v>0</v>
      </c>
      <c r="W105" s="52">
        <f t="shared" si="34"/>
        <v>0</v>
      </c>
      <c r="X105" s="48"/>
      <c r="Y105" s="58">
        <f t="shared" si="25"/>
        <v>0</v>
      </c>
      <c r="Z105" s="49" t="str">
        <f t="shared" si="35"/>
        <v/>
      </c>
      <c r="AA105" s="64"/>
      <c r="AB105" s="94"/>
      <c r="AE105" s="97" t="str">
        <f t="shared" si="27"/>
        <v/>
      </c>
    </row>
    <row r="106" spans="1:31" ht="15.75">
      <c r="A106" s="62" t="str">
        <f t="shared" si="28"/>
        <v/>
      </c>
      <c r="B106" s="44"/>
      <c r="C106" s="46"/>
      <c r="D106" s="46"/>
      <c r="E106" s="50">
        <f t="shared" si="29"/>
        <v>0</v>
      </c>
      <c r="F106" s="48"/>
      <c r="G106" s="51">
        <f t="shared" si="30"/>
        <v>0</v>
      </c>
      <c r="H106" s="43"/>
      <c r="I106" s="44"/>
      <c r="J106" s="54"/>
      <c r="K106" s="48"/>
      <c r="L106" s="48"/>
      <c r="M106" s="48"/>
      <c r="N106" s="48"/>
      <c r="O106" s="48"/>
      <c r="P106" s="48"/>
      <c r="Q106" s="48"/>
      <c r="R106" s="48"/>
      <c r="S106" s="58">
        <f>IF(B106="",0,SUM(K106:R106)+SUMIFS('DESPESAS CASA'!$D$6:$D$305,'DESPESAS CASA'!$E$6:$E$305,A106))-P106</f>
        <v>0</v>
      </c>
      <c r="T106" s="51">
        <f t="shared" si="31"/>
        <v>0</v>
      </c>
      <c r="U106" s="51">
        <f t="shared" si="32"/>
        <v>0</v>
      </c>
      <c r="V106" s="51">
        <f t="shared" si="33"/>
        <v>0</v>
      </c>
      <c r="W106" s="52">
        <f t="shared" si="34"/>
        <v>0</v>
      </c>
      <c r="X106" s="48"/>
      <c r="Y106" s="58">
        <f t="shared" si="25"/>
        <v>0</v>
      </c>
      <c r="Z106" s="49" t="str">
        <f t="shared" si="35"/>
        <v/>
      </c>
      <c r="AA106" s="64"/>
      <c r="AB106" s="94"/>
      <c r="AE106" s="97" t="str">
        <f t="shared" si="27"/>
        <v/>
      </c>
    </row>
    <row r="107" spans="1:31" ht="15.75">
      <c r="A107" s="62" t="str">
        <f t="shared" si="28"/>
        <v/>
      </c>
      <c r="B107" s="44"/>
      <c r="C107" s="46"/>
      <c r="D107" s="46"/>
      <c r="E107" s="50">
        <f t="shared" si="29"/>
        <v>0</v>
      </c>
      <c r="F107" s="48"/>
      <c r="G107" s="51">
        <f t="shared" si="30"/>
        <v>0</v>
      </c>
      <c r="H107" s="43"/>
      <c r="I107" s="44"/>
      <c r="J107" s="54"/>
      <c r="K107" s="48"/>
      <c r="L107" s="48"/>
      <c r="M107" s="48"/>
      <c r="N107" s="48"/>
      <c r="O107" s="48"/>
      <c r="P107" s="48"/>
      <c r="Q107" s="48"/>
      <c r="R107" s="48"/>
      <c r="S107" s="58">
        <f>IF(B107="",0,SUM(K107:R107)+SUMIFS('DESPESAS CASA'!$D$6:$D$305,'DESPESAS CASA'!$E$6:$E$305,A107))-P107</f>
        <v>0</v>
      </c>
      <c r="T107" s="51">
        <f t="shared" si="31"/>
        <v>0</v>
      </c>
      <c r="U107" s="51">
        <f t="shared" si="32"/>
        <v>0</v>
      </c>
      <c r="V107" s="51">
        <f t="shared" si="33"/>
        <v>0</v>
      </c>
      <c r="W107" s="52">
        <f t="shared" si="34"/>
        <v>0</v>
      </c>
      <c r="X107" s="48"/>
      <c r="Y107" s="58">
        <f t="shared" si="25"/>
        <v>0</v>
      </c>
      <c r="Z107" s="49" t="str">
        <f t="shared" si="35"/>
        <v/>
      </c>
      <c r="AA107" s="64"/>
      <c r="AB107" s="94"/>
      <c r="AE107" s="97" t="str">
        <f t="shared" si="27"/>
        <v/>
      </c>
    </row>
    <row r="108" spans="1:31" ht="15.75">
      <c r="A108" s="62" t="str">
        <f t="shared" si="28"/>
        <v/>
      </c>
      <c r="B108" s="44"/>
      <c r="C108" s="46"/>
      <c r="D108" s="46"/>
      <c r="E108" s="50">
        <f t="shared" si="29"/>
        <v>0</v>
      </c>
      <c r="F108" s="48"/>
      <c r="G108" s="51">
        <f t="shared" si="30"/>
        <v>0</v>
      </c>
      <c r="H108" s="43"/>
      <c r="I108" s="44"/>
      <c r="J108" s="54"/>
      <c r="K108" s="48"/>
      <c r="L108" s="48"/>
      <c r="M108" s="48"/>
      <c r="N108" s="48"/>
      <c r="O108" s="48"/>
      <c r="P108" s="48"/>
      <c r="Q108" s="48"/>
      <c r="R108" s="48"/>
      <c r="S108" s="58">
        <f>IF(B108="",0,SUM(K108:R108)+SUMIFS('DESPESAS CASA'!$D$6:$D$305,'DESPESAS CASA'!$E$6:$E$305,A108))-P108</f>
        <v>0</v>
      </c>
      <c r="T108" s="51">
        <f t="shared" si="31"/>
        <v>0</v>
      </c>
      <c r="U108" s="51">
        <f t="shared" si="32"/>
        <v>0</v>
      </c>
      <c r="V108" s="51">
        <f t="shared" si="33"/>
        <v>0</v>
      </c>
      <c r="W108" s="52">
        <f t="shared" si="34"/>
        <v>0</v>
      </c>
      <c r="X108" s="48"/>
      <c r="Y108" s="58">
        <f t="shared" si="25"/>
        <v>0</v>
      </c>
      <c r="Z108" s="49" t="str">
        <f t="shared" si="35"/>
        <v/>
      </c>
      <c r="AA108" s="64"/>
      <c r="AB108" s="94"/>
      <c r="AE108" s="97" t="str">
        <f t="shared" si="27"/>
        <v/>
      </c>
    </row>
    <row r="109" spans="1:31" ht="15.75">
      <c r="A109" s="62" t="str">
        <f t="shared" si="28"/>
        <v/>
      </c>
      <c r="B109" s="44"/>
      <c r="C109" s="46"/>
      <c r="D109" s="46"/>
      <c r="E109" s="50">
        <f t="shared" si="29"/>
        <v>0</v>
      </c>
      <c r="F109" s="48"/>
      <c r="G109" s="51">
        <f t="shared" si="30"/>
        <v>0</v>
      </c>
      <c r="H109" s="43"/>
      <c r="I109" s="44"/>
      <c r="J109" s="54"/>
      <c r="K109" s="48"/>
      <c r="L109" s="48"/>
      <c r="M109" s="48"/>
      <c r="N109" s="48"/>
      <c r="O109" s="48"/>
      <c r="P109" s="48"/>
      <c r="Q109" s="48"/>
      <c r="R109" s="48"/>
      <c r="S109" s="58">
        <f>IF(B109="",0,SUM(K109:R109)+SUMIFS('DESPESAS CASA'!$D$6:$D$305,'DESPESAS CASA'!$E$6:$E$305,A109))-P109</f>
        <v>0</v>
      </c>
      <c r="T109" s="51">
        <f t="shared" si="31"/>
        <v>0</v>
      </c>
      <c r="U109" s="51">
        <f t="shared" si="32"/>
        <v>0</v>
      </c>
      <c r="V109" s="51">
        <f t="shared" si="33"/>
        <v>0</v>
      </c>
      <c r="W109" s="52">
        <f t="shared" si="34"/>
        <v>0</v>
      </c>
      <c r="X109" s="48"/>
      <c r="Y109" s="58">
        <f t="shared" si="25"/>
        <v>0</v>
      </c>
      <c r="Z109" s="49" t="str">
        <f t="shared" si="35"/>
        <v/>
      </c>
      <c r="AA109" s="64"/>
      <c r="AB109" s="94"/>
      <c r="AE109" s="97" t="str">
        <f t="shared" si="27"/>
        <v/>
      </c>
    </row>
    <row r="110" spans="1:31" ht="15.75">
      <c r="A110" s="62" t="str">
        <f t="shared" si="28"/>
        <v/>
      </c>
      <c r="B110" s="44"/>
      <c r="C110" s="46"/>
      <c r="D110" s="46"/>
      <c r="E110" s="50">
        <f t="shared" si="29"/>
        <v>0</v>
      </c>
      <c r="F110" s="48"/>
      <c r="G110" s="51">
        <f t="shared" si="30"/>
        <v>0</v>
      </c>
      <c r="H110" s="43"/>
      <c r="I110" s="44"/>
      <c r="J110" s="54"/>
      <c r="K110" s="48"/>
      <c r="L110" s="48"/>
      <c r="M110" s="48"/>
      <c r="N110" s="48"/>
      <c r="O110" s="48"/>
      <c r="P110" s="48"/>
      <c r="Q110" s="48"/>
      <c r="R110" s="48"/>
      <c r="S110" s="58">
        <f>IF(B110="",0,SUM(K110:R110)+SUMIFS('DESPESAS CASA'!$D$6:$D$305,'DESPESAS CASA'!$E$6:$E$305,A110))-P110</f>
        <v>0</v>
      </c>
      <c r="T110" s="51">
        <f t="shared" si="31"/>
        <v>0</v>
      </c>
      <c r="U110" s="51">
        <f t="shared" si="32"/>
        <v>0</v>
      </c>
      <c r="V110" s="51">
        <f t="shared" si="33"/>
        <v>0</v>
      </c>
      <c r="W110" s="52">
        <f t="shared" si="34"/>
        <v>0</v>
      </c>
      <c r="X110" s="48"/>
      <c r="Y110" s="58">
        <f t="shared" si="25"/>
        <v>0</v>
      </c>
      <c r="Z110" s="49" t="str">
        <f t="shared" si="35"/>
        <v/>
      </c>
      <c r="AA110" s="64"/>
      <c r="AB110" s="94"/>
      <c r="AE110" s="97" t="str">
        <f t="shared" si="27"/>
        <v/>
      </c>
    </row>
    <row r="111" spans="1:31" ht="15.75">
      <c r="A111" s="62" t="str">
        <f t="shared" si="28"/>
        <v/>
      </c>
      <c r="B111" s="44"/>
      <c r="C111" s="46"/>
      <c r="D111" s="46"/>
      <c r="E111" s="50">
        <f t="shared" si="29"/>
        <v>0</v>
      </c>
      <c r="F111" s="48"/>
      <c r="G111" s="51">
        <f t="shared" si="30"/>
        <v>0</v>
      </c>
      <c r="H111" s="43"/>
      <c r="I111" s="44"/>
      <c r="J111" s="54"/>
      <c r="K111" s="48"/>
      <c r="L111" s="48"/>
      <c r="M111" s="48"/>
      <c r="N111" s="48"/>
      <c r="O111" s="48"/>
      <c r="P111" s="48"/>
      <c r="Q111" s="48"/>
      <c r="R111" s="48"/>
      <c r="S111" s="58">
        <f>IF(B111="",0,SUM(K111:R111)+SUMIFS('DESPESAS CASA'!$D$6:$D$305,'DESPESAS CASA'!$E$6:$E$305,A111))-P111</f>
        <v>0</v>
      </c>
      <c r="T111" s="51">
        <f t="shared" si="31"/>
        <v>0</v>
      </c>
      <c r="U111" s="51">
        <f t="shared" si="32"/>
        <v>0</v>
      </c>
      <c r="V111" s="51">
        <f t="shared" si="33"/>
        <v>0</v>
      </c>
      <c r="W111" s="52">
        <f t="shared" si="34"/>
        <v>0</v>
      </c>
      <c r="X111" s="48"/>
      <c r="Y111" s="58">
        <f t="shared" si="25"/>
        <v>0</v>
      </c>
      <c r="Z111" s="49" t="str">
        <f t="shared" si="35"/>
        <v/>
      </c>
      <c r="AA111" s="64"/>
      <c r="AB111" s="94"/>
      <c r="AE111" s="97" t="str">
        <f t="shared" si="27"/>
        <v/>
      </c>
    </row>
    <row r="112" spans="1:31" ht="15.75">
      <c r="A112" s="62" t="str">
        <f t="shared" si="28"/>
        <v/>
      </c>
      <c r="B112" s="44"/>
      <c r="C112" s="46"/>
      <c r="D112" s="46"/>
      <c r="E112" s="50">
        <f t="shared" si="29"/>
        <v>0</v>
      </c>
      <c r="F112" s="48"/>
      <c r="G112" s="51">
        <f t="shared" si="30"/>
        <v>0</v>
      </c>
      <c r="H112" s="43"/>
      <c r="I112" s="44"/>
      <c r="J112" s="54"/>
      <c r="K112" s="48"/>
      <c r="L112" s="48"/>
      <c r="M112" s="48"/>
      <c r="N112" s="48"/>
      <c r="O112" s="48"/>
      <c r="P112" s="48"/>
      <c r="Q112" s="48"/>
      <c r="R112" s="48"/>
      <c r="S112" s="58">
        <f>IF(B112="",0,SUM(K112:R112)+SUMIFS('DESPESAS CASA'!$D$6:$D$305,'DESPESAS CASA'!$E$6:$E$305,A112))-P112</f>
        <v>0</v>
      </c>
      <c r="T112" s="51">
        <f t="shared" si="31"/>
        <v>0</v>
      </c>
      <c r="U112" s="51">
        <f t="shared" si="32"/>
        <v>0</v>
      </c>
      <c r="V112" s="51">
        <f t="shared" si="33"/>
        <v>0</v>
      </c>
      <c r="W112" s="52">
        <f t="shared" si="34"/>
        <v>0</v>
      </c>
      <c r="X112" s="48"/>
      <c r="Y112" s="58">
        <f t="shared" si="25"/>
        <v>0</v>
      </c>
      <c r="Z112" s="49" t="str">
        <f t="shared" si="35"/>
        <v/>
      </c>
      <c r="AA112" s="64"/>
      <c r="AB112" s="94"/>
      <c r="AE112" s="97" t="str">
        <f t="shared" si="27"/>
        <v/>
      </c>
    </row>
    <row r="113" spans="1:31" ht="15.75">
      <c r="A113" s="62" t="str">
        <f t="shared" si="28"/>
        <v/>
      </c>
      <c r="B113" s="44"/>
      <c r="C113" s="46"/>
      <c r="D113" s="46"/>
      <c r="E113" s="50">
        <f t="shared" si="29"/>
        <v>0</v>
      </c>
      <c r="F113" s="48"/>
      <c r="G113" s="51">
        <f t="shared" si="30"/>
        <v>0</v>
      </c>
      <c r="H113" s="43"/>
      <c r="I113" s="44"/>
      <c r="J113" s="54"/>
      <c r="K113" s="48"/>
      <c r="L113" s="48"/>
      <c r="M113" s="48"/>
      <c r="N113" s="48"/>
      <c r="O113" s="48"/>
      <c r="P113" s="48"/>
      <c r="Q113" s="48"/>
      <c r="R113" s="48"/>
      <c r="S113" s="58">
        <f>IF(B113="",0,SUM(K113:R113)+SUMIFS('DESPESAS CASA'!$D$6:$D$305,'DESPESAS CASA'!$E$6:$E$305,A113))-P113</f>
        <v>0</v>
      </c>
      <c r="T113" s="51">
        <f t="shared" si="31"/>
        <v>0</v>
      </c>
      <c r="U113" s="51">
        <f t="shared" si="32"/>
        <v>0</v>
      </c>
      <c r="V113" s="51">
        <f t="shared" si="33"/>
        <v>0</v>
      </c>
      <c r="W113" s="52">
        <f t="shared" si="34"/>
        <v>0</v>
      </c>
      <c r="X113" s="48"/>
      <c r="Y113" s="58">
        <f t="shared" si="25"/>
        <v>0</v>
      </c>
      <c r="Z113" s="49" t="str">
        <f t="shared" si="35"/>
        <v/>
      </c>
      <c r="AA113" s="64"/>
      <c r="AB113" s="94"/>
      <c r="AE113" s="97" t="str">
        <f t="shared" si="27"/>
        <v/>
      </c>
    </row>
    <row r="114" spans="1:31" ht="15.75">
      <c r="A114" s="62" t="str">
        <f t="shared" si="28"/>
        <v/>
      </c>
      <c r="B114" s="44"/>
      <c r="C114" s="46"/>
      <c r="D114" s="46"/>
      <c r="E114" s="50">
        <f t="shared" si="29"/>
        <v>0</v>
      </c>
      <c r="F114" s="48"/>
      <c r="G114" s="51">
        <f t="shared" si="30"/>
        <v>0</v>
      </c>
      <c r="H114" s="43"/>
      <c r="I114" s="44"/>
      <c r="J114" s="54"/>
      <c r="K114" s="48"/>
      <c r="L114" s="48"/>
      <c r="M114" s="48"/>
      <c r="N114" s="48"/>
      <c r="O114" s="48"/>
      <c r="P114" s="48"/>
      <c r="Q114" s="48"/>
      <c r="R114" s="48"/>
      <c r="S114" s="58">
        <f>IF(B114="",0,SUM(K114:R114)+SUMIFS('DESPESAS CASA'!$D$6:$D$305,'DESPESAS CASA'!$E$6:$E$305,A114))-P114</f>
        <v>0</v>
      </c>
      <c r="T114" s="51">
        <f t="shared" si="31"/>
        <v>0</v>
      </c>
      <c r="U114" s="51">
        <f t="shared" si="32"/>
        <v>0</v>
      </c>
      <c r="V114" s="51">
        <f t="shared" si="33"/>
        <v>0</v>
      </c>
      <c r="W114" s="52">
        <f t="shared" si="34"/>
        <v>0</v>
      </c>
      <c r="X114" s="48"/>
      <c r="Y114" s="58">
        <f t="shared" si="25"/>
        <v>0</v>
      </c>
      <c r="Z114" s="49" t="str">
        <f t="shared" si="35"/>
        <v/>
      </c>
      <c r="AA114" s="64"/>
      <c r="AB114" s="94"/>
      <c r="AE114" s="97" t="str">
        <f t="shared" si="27"/>
        <v/>
      </c>
    </row>
    <row r="115" spans="1:31" ht="15.75">
      <c r="A115" s="62" t="str">
        <f t="shared" si="28"/>
        <v/>
      </c>
      <c r="B115" s="44"/>
      <c r="C115" s="46"/>
      <c r="D115" s="46"/>
      <c r="E115" s="50">
        <f t="shared" si="29"/>
        <v>0</v>
      </c>
      <c r="F115" s="48"/>
      <c r="G115" s="51">
        <f t="shared" si="30"/>
        <v>0</v>
      </c>
      <c r="H115" s="43"/>
      <c r="I115" s="44"/>
      <c r="J115" s="54"/>
      <c r="K115" s="48"/>
      <c r="L115" s="48"/>
      <c r="M115" s="48"/>
      <c r="N115" s="48"/>
      <c r="O115" s="48"/>
      <c r="P115" s="48"/>
      <c r="Q115" s="48"/>
      <c r="R115" s="48"/>
      <c r="S115" s="58">
        <f>IF(B115="",0,SUM(K115:R115)+SUMIFS('DESPESAS CASA'!$D$6:$D$305,'DESPESAS CASA'!$E$6:$E$305,A115))-P115</f>
        <v>0</v>
      </c>
      <c r="T115" s="51">
        <f t="shared" si="31"/>
        <v>0</v>
      </c>
      <c r="U115" s="51">
        <f t="shared" si="32"/>
        <v>0</v>
      </c>
      <c r="V115" s="51">
        <f t="shared" si="33"/>
        <v>0</v>
      </c>
      <c r="W115" s="52">
        <f t="shared" si="34"/>
        <v>0</v>
      </c>
      <c r="X115" s="48"/>
      <c r="Y115" s="58">
        <f t="shared" si="25"/>
        <v>0</v>
      </c>
      <c r="Z115" s="49" t="str">
        <f t="shared" si="35"/>
        <v/>
      </c>
      <c r="AA115" s="64"/>
      <c r="AB115" s="94"/>
      <c r="AE115" s="97" t="str">
        <f t="shared" si="27"/>
        <v/>
      </c>
    </row>
    <row r="116" spans="1:31" ht="15.75">
      <c r="A116" s="62" t="str">
        <f t="shared" si="28"/>
        <v/>
      </c>
      <c r="B116" s="44"/>
      <c r="C116" s="46"/>
      <c r="D116" s="46"/>
      <c r="E116" s="50">
        <f t="shared" si="29"/>
        <v>0</v>
      </c>
      <c r="F116" s="48"/>
      <c r="G116" s="51">
        <f t="shared" si="30"/>
        <v>0</v>
      </c>
      <c r="H116" s="43"/>
      <c r="I116" s="44"/>
      <c r="J116" s="54"/>
      <c r="K116" s="48"/>
      <c r="L116" s="48"/>
      <c r="M116" s="48"/>
      <c r="N116" s="48"/>
      <c r="O116" s="48"/>
      <c r="P116" s="48"/>
      <c r="Q116" s="48"/>
      <c r="R116" s="48"/>
      <c r="S116" s="58">
        <f>IF(B116="",0,SUM(K116:R116)+SUMIFS('DESPESAS CASA'!$D$6:$D$305,'DESPESAS CASA'!$E$6:$E$305,A116))-P116</f>
        <v>0</v>
      </c>
      <c r="T116" s="51">
        <f t="shared" si="31"/>
        <v>0</v>
      </c>
      <c r="U116" s="51">
        <f t="shared" si="32"/>
        <v>0</v>
      </c>
      <c r="V116" s="51">
        <f t="shared" si="33"/>
        <v>0</v>
      </c>
      <c r="W116" s="52">
        <f t="shared" si="34"/>
        <v>0</v>
      </c>
      <c r="X116" s="48"/>
      <c r="Y116" s="58">
        <f t="shared" si="25"/>
        <v>0</v>
      </c>
      <c r="Z116" s="49" t="str">
        <f t="shared" si="35"/>
        <v/>
      </c>
      <c r="AA116" s="64"/>
      <c r="AB116" s="94"/>
      <c r="AE116" s="97" t="str">
        <f t="shared" si="27"/>
        <v/>
      </c>
    </row>
    <row r="117" spans="1:31" ht="15.75">
      <c r="A117" s="62" t="str">
        <f t="shared" si="28"/>
        <v/>
      </c>
      <c r="B117" s="44"/>
      <c r="C117" s="46"/>
      <c r="D117" s="46"/>
      <c r="E117" s="50">
        <f t="shared" si="29"/>
        <v>0</v>
      </c>
      <c r="F117" s="48"/>
      <c r="G117" s="51">
        <f t="shared" si="30"/>
        <v>0</v>
      </c>
      <c r="H117" s="43"/>
      <c r="I117" s="44"/>
      <c r="J117" s="54"/>
      <c r="K117" s="48"/>
      <c r="L117" s="48"/>
      <c r="M117" s="48"/>
      <c r="N117" s="48"/>
      <c r="O117" s="48"/>
      <c r="P117" s="48"/>
      <c r="Q117" s="48"/>
      <c r="R117" s="48"/>
      <c r="S117" s="58">
        <f>IF(B117="",0,SUM(K117:R117)+SUMIFS('DESPESAS CASA'!$D$6:$D$305,'DESPESAS CASA'!$E$6:$E$305,A117))-P117</f>
        <v>0</v>
      </c>
      <c r="T117" s="51">
        <f t="shared" si="31"/>
        <v>0</v>
      </c>
      <c r="U117" s="51">
        <f t="shared" si="32"/>
        <v>0</v>
      </c>
      <c r="V117" s="51">
        <f t="shared" si="33"/>
        <v>0</v>
      </c>
      <c r="W117" s="52">
        <f t="shared" si="34"/>
        <v>0</v>
      </c>
      <c r="X117" s="48"/>
      <c r="Y117" s="58">
        <f t="shared" si="25"/>
        <v>0</v>
      </c>
      <c r="Z117" s="49" t="str">
        <f t="shared" si="35"/>
        <v/>
      </c>
      <c r="AA117" s="64"/>
      <c r="AB117" s="94"/>
      <c r="AE117" s="97" t="str">
        <f t="shared" si="27"/>
        <v/>
      </c>
    </row>
    <row r="118" spans="1:31" ht="15.75">
      <c r="A118" s="62" t="str">
        <f t="shared" si="28"/>
        <v/>
      </c>
      <c r="B118" s="44"/>
      <c r="C118" s="46"/>
      <c r="D118" s="46"/>
      <c r="E118" s="50">
        <f t="shared" si="29"/>
        <v>0</v>
      </c>
      <c r="F118" s="48"/>
      <c r="G118" s="51">
        <f t="shared" si="30"/>
        <v>0</v>
      </c>
      <c r="H118" s="43"/>
      <c r="I118" s="44"/>
      <c r="J118" s="54"/>
      <c r="K118" s="48"/>
      <c r="L118" s="48"/>
      <c r="M118" s="48"/>
      <c r="N118" s="48"/>
      <c r="O118" s="48"/>
      <c r="P118" s="48"/>
      <c r="Q118" s="48"/>
      <c r="R118" s="48"/>
      <c r="S118" s="58">
        <f>IF(B118="",0,SUM(K118:R118)+SUMIFS('DESPESAS CASA'!$D$6:$D$305,'DESPESAS CASA'!$E$6:$E$305,A118))-P118</f>
        <v>0</v>
      </c>
      <c r="T118" s="51">
        <f t="shared" si="31"/>
        <v>0</v>
      </c>
      <c r="U118" s="51">
        <f t="shared" si="32"/>
        <v>0</v>
      </c>
      <c r="V118" s="51">
        <f t="shared" si="33"/>
        <v>0</v>
      </c>
      <c r="W118" s="52">
        <f t="shared" si="34"/>
        <v>0</v>
      </c>
      <c r="X118" s="48"/>
      <c r="Y118" s="58">
        <f t="shared" si="25"/>
        <v>0</v>
      </c>
      <c r="Z118" s="49" t="str">
        <f t="shared" si="35"/>
        <v/>
      </c>
      <c r="AA118" s="64"/>
      <c r="AB118" s="94"/>
      <c r="AE118" s="97" t="str">
        <f t="shared" si="27"/>
        <v/>
      </c>
    </row>
    <row r="119" spans="1:31" ht="15.75">
      <c r="A119" s="62" t="str">
        <f t="shared" si="28"/>
        <v/>
      </c>
      <c r="B119" s="44"/>
      <c r="C119" s="46"/>
      <c r="D119" s="46"/>
      <c r="E119" s="50">
        <f t="shared" si="29"/>
        <v>0</v>
      </c>
      <c r="F119" s="48"/>
      <c r="G119" s="51">
        <f t="shared" si="30"/>
        <v>0</v>
      </c>
      <c r="H119" s="43"/>
      <c r="I119" s="44"/>
      <c r="J119" s="54"/>
      <c r="K119" s="48"/>
      <c r="L119" s="48"/>
      <c r="M119" s="48"/>
      <c r="N119" s="48"/>
      <c r="O119" s="48"/>
      <c r="P119" s="48"/>
      <c r="Q119" s="48"/>
      <c r="R119" s="48"/>
      <c r="S119" s="58">
        <f>IF(B119="",0,SUM(K119:R119)+SUMIFS('DESPESAS CASA'!$D$6:$D$305,'DESPESAS CASA'!$E$6:$E$305,A119))-P119</f>
        <v>0</v>
      </c>
      <c r="T119" s="51">
        <f t="shared" si="31"/>
        <v>0</v>
      </c>
      <c r="U119" s="51">
        <f t="shared" si="32"/>
        <v>0</v>
      </c>
      <c r="V119" s="51">
        <f t="shared" si="33"/>
        <v>0</v>
      </c>
      <c r="W119" s="52">
        <f t="shared" si="34"/>
        <v>0</v>
      </c>
      <c r="X119" s="48"/>
      <c r="Y119" s="58">
        <f t="shared" si="25"/>
        <v>0</v>
      </c>
      <c r="Z119" s="49" t="str">
        <f t="shared" si="35"/>
        <v/>
      </c>
      <c r="AA119" s="64"/>
      <c r="AB119" s="94"/>
      <c r="AE119" s="97" t="str">
        <f t="shared" si="27"/>
        <v/>
      </c>
    </row>
    <row r="120" spans="1:31" ht="15.75">
      <c r="A120" s="62" t="str">
        <f t="shared" si="28"/>
        <v/>
      </c>
      <c r="B120" s="44"/>
      <c r="C120" s="46"/>
      <c r="D120" s="46"/>
      <c r="E120" s="50">
        <f t="shared" si="29"/>
        <v>0</v>
      </c>
      <c r="F120" s="48"/>
      <c r="G120" s="51">
        <f t="shared" si="30"/>
        <v>0</v>
      </c>
      <c r="H120" s="43"/>
      <c r="I120" s="44"/>
      <c r="J120" s="54"/>
      <c r="K120" s="48"/>
      <c r="L120" s="48"/>
      <c r="M120" s="48"/>
      <c r="N120" s="48"/>
      <c r="O120" s="48"/>
      <c r="P120" s="48"/>
      <c r="Q120" s="48"/>
      <c r="R120" s="48"/>
      <c r="S120" s="58">
        <f>IF(B120="",0,SUM(K120:R120)+SUMIFS('DESPESAS CASA'!$D$6:$D$305,'DESPESAS CASA'!$E$6:$E$305,A120))-P120</f>
        <v>0</v>
      </c>
      <c r="T120" s="51">
        <f t="shared" si="31"/>
        <v>0</v>
      </c>
      <c r="U120" s="51">
        <f t="shared" si="32"/>
        <v>0</v>
      </c>
      <c r="V120" s="51">
        <f t="shared" si="33"/>
        <v>0</v>
      </c>
      <c r="W120" s="52">
        <f t="shared" si="34"/>
        <v>0</v>
      </c>
      <c r="X120" s="48"/>
      <c r="Y120" s="58">
        <f t="shared" si="25"/>
        <v>0</v>
      </c>
      <c r="Z120" s="49" t="str">
        <f t="shared" si="35"/>
        <v/>
      </c>
      <c r="AA120" s="64"/>
      <c r="AB120" s="94"/>
      <c r="AE120" s="97" t="str">
        <f t="shared" si="27"/>
        <v/>
      </c>
    </row>
    <row r="121" spans="1:31" ht="15.75">
      <c r="A121" s="62" t="str">
        <f t="shared" si="28"/>
        <v/>
      </c>
      <c r="B121" s="44"/>
      <c r="C121" s="46"/>
      <c r="D121" s="46"/>
      <c r="E121" s="50">
        <f t="shared" si="29"/>
        <v>0</v>
      </c>
      <c r="F121" s="48"/>
      <c r="G121" s="51">
        <f t="shared" si="30"/>
        <v>0</v>
      </c>
      <c r="H121" s="43"/>
      <c r="I121" s="44"/>
      <c r="J121" s="54"/>
      <c r="K121" s="48"/>
      <c r="L121" s="48"/>
      <c r="M121" s="48"/>
      <c r="N121" s="48"/>
      <c r="O121" s="48"/>
      <c r="P121" s="48"/>
      <c r="Q121" s="48"/>
      <c r="R121" s="48"/>
      <c r="S121" s="58">
        <f>IF(B121="",0,SUM(K121:R121)+SUMIFS('DESPESAS CASA'!$D$6:$D$305,'DESPESAS CASA'!$E$6:$E$305,A121))-P121</f>
        <v>0</v>
      </c>
      <c r="T121" s="51">
        <f t="shared" si="31"/>
        <v>0</v>
      </c>
      <c r="U121" s="51">
        <f t="shared" si="32"/>
        <v>0</v>
      </c>
      <c r="V121" s="51">
        <f t="shared" si="33"/>
        <v>0</v>
      </c>
      <c r="W121" s="52">
        <f t="shared" si="34"/>
        <v>0</v>
      </c>
      <c r="X121" s="48"/>
      <c r="Y121" s="58">
        <f t="shared" si="25"/>
        <v>0</v>
      </c>
      <c r="Z121" s="49" t="str">
        <f t="shared" si="35"/>
        <v/>
      </c>
      <c r="AA121" s="64"/>
      <c r="AB121" s="94"/>
      <c r="AE121" s="97" t="str">
        <f t="shared" si="27"/>
        <v/>
      </c>
    </row>
    <row r="122" spans="1:31" ht="15.75">
      <c r="A122" s="62" t="str">
        <f t="shared" si="28"/>
        <v/>
      </c>
      <c r="B122" s="44"/>
      <c r="C122" s="46"/>
      <c r="D122" s="46"/>
      <c r="E122" s="50">
        <f t="shared" si="29"/>
        <v>0</v>
      </c>
      <c r="F122" s="48"/>
      <c r="G122" s="51">
        <f t="shared" si="30"/>
        <v>0</v>
      </c>
      <c r="H122" s="43"/>
      <c r="I122" s="44"/>
      <c r="J122" s="54"/>
      <c r="K122" s="48"/>
      <c r="L122" s="48"/>
      <c r="M122" s="48"/>
      <c r="N122" s="48"/>
      <c r="O122" s="48"/>
      <c r="P122" s="48"/>
      <c r="Q122" s="48"/>
      <c r="R122" s="48"/>
      <c r="S122" s="58">
        <f>IF(B122="",0,SUM(K122:R122)+SUMIFS('DESPESAS CASA'!$D$6:$D$305,'DESPESAS CASA'!$E$6:$E$305,A122))-P122</f>
        <v>0</v>
      </c>
      <c r="T122" s="51">
        <f t="shared" si="31"/>
        <v>0</v>
      </c>
      <c r="U122" s="51">
        <f t="shared" si="32"/>
        <v>0</v>
      </c>
      <c r="V122" s="51">
        <f t="shared" si="33"/>
        <v>0</v>
      </c>
      <c r="W122" s="52">
        <f t="shared" si="34"/>
        <v>0</v>
      </c>
      <c r="X122" s="48"/>
      <c r="Y122" s="58">
        <f t="shared" si="25"/>
        <v>0</v>
      </c>
      <c r="Z122" s="49" t="str">
        <f t="shared" si="35"/>
        <v/>
      </c>
      <c r="AA122" s="64"/>
      <c r="AB122" s="94"/>
      <c r="AE122" s="97" t="str">
        <f t="shared" si="27"/>
        <v/>
      </c>
    </row>
    <row r="123" spans="1:31" ht="15.75">
      <c r="A123" s="62" t="str">
        <f t="shared" si="28"/>
        <v/>
      </c>
      <c r="B123" s="44"/>
      <c r="C123" s="46"/>
      <c r="D123" s="46"/>
      <c r="E123" s="50">
        <f t="shared" si="29"/>
        <v>0</v>
      </c>
      <c r="F123" s="48"/>
      <c r="G123" s="51">
        <f t="shared" si="30"/>
        <v>0</v>
      </c>
      <c r="H123" s="43"/>
      <c r="I123" s="44"/>
      <c r="J123" s="54"/>
      <c r="K123" s="48"/>
      <c r="L123" s="48"/>
      <c r="M123" s="48"/>
      <c r="N123" s="48"/>
      <c r="O123" s="48"/>
      <c r="P123" s="48"/>
      <c r="Q123" s="48"/>
      <c r="R123" s="48"/>
      <c r="S123" s="58">
        <f>IF(B123="",0,SUM(K123:R123)+SUMIFS('DESPESAS CASA'!$D$6:$D$305,'DESPESAS CASA'!$E$6:$E$305,A123))-P123</f>
        <v>0</v>
      </c>
      <c r="T123" s="51">
        <f t="shared" si="31"/>
        <v>0</v>
      </c>
      <c r="U123" s="51">
        <f t="shared" si="32"/>
        <v>0</v>
      </c>
      <c r="V123" s="51">
        <f t="shared" si="33"/>
        <v>0</v>
      </c>
      <c r="W123" s="52">
        <f t="shared" si="34"/>
        <v>0</v>
      </c>
      <c r="X123" s="48"/>
      <c r="Y123" s="58">
        <f t="shared" si="25"/>
        <v>0</v>
      </c>
      <c r="Z123" s="49" t="str">
        <f t="shared" si="35"/>
        <v/>
      </c>
      <c r="AA123" s="64"/>
      <c r="AB123" s="94"/>
      <c r="AE123" s="97" t="str">
        <f t="shared" si="27"/>
        <v/>
      </c>
    </row>
    <row r="124" spans="1:31" ht="15.75">
      <c r="A124" s="62" t="str">
        <f t="shared" si="28"/>
        <v/>
      </c>
      <c r="B124" s="44"/>
      <c r="C124" s="46"/>
      <c r="D124" s="46"/>
      <c r="E124" s="50">
        <f t="shared" si="29"/>
        <v>0</v>
      </c>
      <c r="F124" s="48"/>
      <c r="G124" s="51">
        <f t="shared" si="30"/>
        <v>0</v>
      </c>
      <c r="H124" s="43"/>
      <c r="I124" s="44"/>
      <c r="J124" s="54"/>
      <c r="K124" s="48"/>
      <c r="L124" s="48"/>
      <c r="M124" s="48"/>
      <c r="N124" s="48"/>
      <c r="O124" s="48"/>
      <c r="P124" s="48"/>
      <c r="Q124" s="48"/>
      <c r="R124" s="48"/>
      <c r="S124" s="58">
        <f>IF(B124="",0,SUM(K124:R124)+SUMIFS('DESPESAS CASA'!$D$6:$D$305,'DESPESAS CASA'!$E$6:$E$305,A124))-P124</f>
        <v>0</v>
      </c>
      <c r="T124" s="51">
        <f t="shared" si="31"/>
        <v>0</v>
      </c>
      <c r="U124" s="51">
        <f t="shared" si="32"/>
        <v>0</v>
      </c>
      <c r="V124" s="51">
        <f t="shared" si="33"/>
        <v>0</v>
      </c>
      <c r="W124" s="52">
        <f t="shared" si="34"/>
        <v>0</v>
      </c>
      <c r="X124" s="48"/>
      <c r="Y124" s="58">
        <f t="shared" si="25"/>
        <v>0</v>
      </c>
      <c r="Z124" s="49" t="str">
        <f t="shared" si="35"/>
        <v/>
      </c>
      <c r="AA124" s="64"/>
      <c r="AB124" s="94"/>
      <c r="AE124" s="97" t="str">
        <f t="shared" si="27"/>
        <v/>
      </c>
    </row>
    <row r="125" spans="1:31" ht="15.75">
      <c r="A125" s="62" t="str">
        <f t="shared" si="28"/>
        <v/>
      </c>
      <c r="B125" s="44"/>
      <c r="C125" s="46"/>
      <c r="D125" s="46"/>
      <c r="E125" s="50">
        <f t="shared" si="29"/>
        <v>0</v>
      </c>
      <c r="F125" s="48"/>
      <c r="G125" s="51">
        <f t="shared" si="30"/>
        <v>0</v>
      </c>
      <c r="H125" s="43"/>
      <c r="I125" s="44"/>
      <c r="J125" s="54"/>
      <c r="K125" s="48"/>
      <c r="L125" s="48"/>
      <c r="M125" s="48"/>
      <c r="N125" s="48"/>
      <c r="O125" s="48"/>
      <c r="P125" s="48"/>
      <c r="Q125" s="48"/>
      <c r="R125" s="48"/>
      <c r="S125" s="58">
        <f>IF(B125="",0,SUM(K125:R125)+SUMIFS('DESPESAS CASA'!$D$6:$D$305,'DESPESAS CASA'!$E$6:$E$305,A125))-P125</f>
        <v>0</v>
      </c>
      <c r="T125" s="51">
        <f t="shared" si="31"/>
        <v>0</v>
      </c>
      <c r="U125" s="51">
        <f t="shared" si="32"/>
        <v>0</v>
      </c>
      <c r="V125" s="51">
        <f t="shared" si="33"/>
        <v>0</v>
      </c>
      <c r="W125" s="52">
        <f t="shared" si="34"/>
        <v>0</v>
      </c>
      <c r="X125" s="48"/>
      <c r="Y125" s="58">
        <f t="shared" si="25"/>
        <v>0</v>
      </c>
      <c r="Z125" s="49" t="str">
        <f t="shared" si="35"/>
        <v/>
      </c>
      <c r="AA125" s="64"/>
      <c r="AB125" s="94"/>
      <c r="AE125" s="97" t="str">
        <f t="shared" si="27"/>
        <v/>
      </c>
    </row>
    <row r="126" spans="1:31" ht="15.75">
      <c r="A126" s="62" t="str">
        <f t="shared" si="28"/>
        <v/>
      </c>
      <c r="B126" s="44"/>
      <c r="C126" s="46"/>
      <c r="D126" s="46"/>
      <c r="E126" s="50">
        <f t="shared" si="29"/>
        <v>0</v>
      </c>
      <c r="F126" s="48"/>
      <c r="G126" s="51">
        <f t="shared" si="30"/>
        <v>0</v>
      </c>
      <c r="H126" s="43"/>
      <c r="I126" s="44"/>
      <c r="J126" s="54"/>
      <c r="K126" s="48"/>
      <c r="L126" s="48"/>
      <c r="M126" s="48"/>
      <c r="N126" s="48"/>
      <c r="O126" s="48"/>
      <c r="P126" s="48"/>
      <c r="Q126" s="48"/>
      <c r="R126" s="48"/>
      <c r="S126" s="58">
        <f>IF(B126="",0,SUM(K126:R126)+SUMIFS('DESPESAS CASA'!$D$6:$D$305,'DESPESAS CASA'!$E$6:$E$305,A126))-P126</f>
        <v>0</v>
      </c>
      <c r="T126" s="51">
        <f t="shared" si="31"/>
        <v>0</v>
      </c>
      <c r="U126" s="51">
        <f t="shared" si="32"/>
        <v>0</v>
      </c>
      <c r="V126" s="51">
        <f t="shared" si="33"/>
        <v>0</v>
      </c>
      <c r="W126" s="52">
        <f t="shared" si="34"/>
        <v>0</v>
      </c>
      <c r="X126" s="48"/>
      <c r="Y126" s="58">
        <f t="shared" si="25"/>
        <v>0</v>
      </c>
      <c r="Z126" s="49" t="str">
        <f t="shared" si="35"/>
        <v/>
      </c>
      <c r="AA126" s="64"/>
      <c r="AB126" s="94"/>
      <c r="AE126" s="97" t="str">
        <f t="shared" si="27"/>
        <v/>
      </c>
    </row>
    <row r="127" spans="1:31" ht="15.75">
      <c r="A127" s="62" t="str">
        <f t="shared" si="28"/>
        <v/>
      </c>
      <c r="B127" s="44"/>
      <c r="C127" s="46"/>
      <c r="D127" s="46"/>
      <c r="E127" s="50">
        <f t="shared" si="29"/>
        <v>0</v>
      </c>
      <c r="F127" s="48"/>
      <c r="G127" s="51">
        <f t="shared" si="30"/>
        <v>0</v>
      </c>
      <c r="H127" s="43"/>
      <c r="I127" s="44"/>
      <c r="J127" s="54"/>
      <c r="K127" s="48"/>
      <c r="L127" s="48"/>
      <c r="M127" s="48"/>
      <c r="N127" s="48"/>
      <c r="O127" s="48"/>
      <c r="P127" s="48"/>
      <c r="Q127" s="48"/>
      <c r="R127" s="48"/>
      <c r="S127" s="58">
        <f>IF(B127="",0,SUM(K127:R127)+SUMIFS('DESPESAS CASA'!$D$6:$D$305,'DESPESAS CASA'!$E$6:$E$305,A127))-P127</f>
        <v>0</v>
      </c>
      <c r="T127" s="51">
        <f t="shared" si="31"/>
        <v>0</v>
      </c>
      <c r="U127" s="51">
        <f t="shared" si="32"/>
        <v>0</v>
      </c>
      <c r="V127" s="51">
        <f t="shared" si="33"/>
        <v>0</v>
      </c>
      <c r="W127" s="52">
        <f t="shared" si="34"/>
        <v>0</v>
      </c>
      <c r="X127" s="48"/>
      <c r="Y127" s="58">
        <f t="shared" si="25"/>
        <v>0</v>
      </c>
      <c r="Z127" s="49" t="str">
        <f t="shared" si="35"/>
        <v/>
      </c>
      <c r="AA127" s="64"/>
      <c r="AB127" s="94"/>
      <c r="AE127" s="97" t="str">
        <f t="shared" si="27"/>
        <v/>
      </c>
    </row>
    <row r="128" spans="1:31" ht="15.75">
      <c r="A128" s="62" t="str">
        <f t="shared" si="28"/>
        <v/>
      </c>
      <c r="B128" s="44"/>
      <c r="C128" s="46"/>
      <c r="D128" s="46"/>
      <c r="E128" s="50">
        <f t="shared" si="29"/>
        <v>0</v>
      </c>
      <c r="F128" s="48"/>
      <c r="G128" s="51">
        <f t="shared" si="30"/>
        <v>0</v>
      </c>
      <c r="H128" s="43"/>
      <c r="I128" s="44"/>
      <c r="J128" s="54"/>
      <c r="K128" s="48"/>
      <c r="L128" s="48"/>
      <c r="M128" s="48"/>
      <c r="N128" s="48"/>
      <c r="O128" s="48"/>
      <c r="P128" s="48"/>
      <c r="Q128" s="48"/>
      <c r="R128" s="48"/>
      <c r="S128" s="58">
        <f>IF(B128="",0,SUM(K128:R128)+SUMIFS('DESPESAS CASA'!$D$6:$D$305,'DESPESAS CASA'!$E$6:$E$305,A128))-P128</f>
        <v>0</v>
      </c>
      <c r="T128" s="51">
        <f t="shared" si="31"/>
        <v>0</v>
      </c>
      <c r="U128" s="51">
        <f t="shared" si="32"/>
        <v>0</v>
      </c>
      <c r="V128" s="51">
        <f t="shared" si="33"/>
        <v>0</v>
      </c>
      <c r="W128" s="52">
        <f t="shared" si="34"/>
        <v>0</v>
      </c>
      <c r="X128" s="48"/>
      <c r="Y128" s="58">
        <f t="shared" si="25"/>
        <v>0</v>
      </c>
      <c r="Z128" s="49" t="str">
        <f t="shared" si="35"/>
        <v/>
      </c>
      <c r="AA128" s="64"/>
      <c r="AB128" s="94"/>
      <c r="AE128" s="97" t="str">
        <f t="shared" si="27"/>
        <v/>
      </c>
    </row>
    <row r="129" spans="1:31" ht="15.75">
      <c r="A129" s="62" t="str">
        <f t="shared" si="28"/>
        <v/>
      </c>
      <c r="B129" s="44"/>
      <c r="C129" s="46"/>
      <c r="D129" s="46"/>
      <c r="E129" s="50">
        <f t="shared" si="29"/>
        <v>0</v>
      </c>
      <c r="F129" s="48"/>
      <c r="G129" s="51">
        <f t="shared" si="30"/>
        <v>0</v>
      </c>
      <c r="H129" s="43"/>
      <c r="I129" s="44"/>
      <c r="J129" s="54"/>
      <c r="K129" s="48"/>
      <c r="L129" s="48"/>
      <c r="M129" s="48"/>
      <c r="N129" s="48"/>
      <c r="O129" s="48"/>
      <c r="P129" s="48"/>
      <c r="Q129" s="48"/>
      <c r="R129" s="48"/>
      <c r="S129" s="58">
        <f>IF(B129="",0,SUM(K129:R129)+SUMIFS('DESPESAS CASA'!$D$6:$D$305,'DESPESAS CASA'!$E$6:$E$305,A129))-P129</f>
        <v>0</v>
      </c>
      <c r="T129" s="51">
        <f t="shared" si="31"/>
        <v>0</v>
      </c>
      <c r="U129" s="51">
        <f t="shared" si="32"/>
        <v>0</v>
      </c>
      <c r="V129" s="51">
        <f t="shared" si="33"/>
        <v>0</v>
      </c>
      <c r="W129" s="52">
        <f t="shared" si="34"/>
        <v>0</v>
      </c>
      <c r="X129" s="48"/>
      <c r="Y129" s="58">
        <f t="shared" si="25"/>
        <v>0</v>
      </c>
      <c r="Z129" s="49" t="str">
        <f t="shared" si="35"/>
        <v/>
      </c>
      <c r="AA129" s="64"/>
      <c r="AB129" s="94"/>
      <c r="AE129" s="97" t="str">
        <f t="shared" si="27"/>
        <v/>
      </c>
    </row>
    <row r="130" spans="1:31" ht="15.75">
      <c r="A130" s="62" t="str">
        <f t="shared" si="28"/>
        <v/>
      </c>
      <c r="B130" s="44"/>
      <c r="C130" s="46"/>
      <c r="D130" s="46"/>
      <c r="E130" s="50">
        <f t="shared" si="29"/>
        <v>0</v>
      </c>
      <c r="F130" s="48"/>
      <c r="G130" s="51">
        <f t="shared" si="30"/>
        <v>0</v>
      </c>
      <c r="H130" s="43"/>
      <c r="I130" s="44"/>
      <c r="J130" s="54"/>
      <c r="K130" s="48"/>
      <c r="L130" s="48"/>
      <c r="M130" s="48"/>
      <c r="N130" s="48"/>
      <c r="O130" s="48"/>
      <c r="P130" s="48"/>
      <c r="Q130" s="48"/>
      <c r="R130" s="48"/>
      <c r="S130" s="58">
        <f>IF(B130="",0,SUM(K130:R130)+SUMIFS('DESPESAS CASA'!$D$6:$D$305,'DESPESAS CASA'!$E$6:$E$305,A130))-P130</f>
        <v>0</v>
      </c>
      <c r="T130" s="51">
        <f t="shared" si="31"/>
        <v>0</v>
      </c>
      <c r="U130" s="51">
        <f t="shared" si="32"/>
        <v>0</v>
      </c>
      <c r="V130" s="51">
        <f t="shared" si="33"/>
        <v>0</v>
      </c>
      <c r="W130" s="52">
        <f t="shared" si="34"/>
        <v>0</v>
      </c>
      <c r="X130" s="48"/>
      <c r="Y130" s="58">
        <f t="shared" si="25"/>
        <v>0</v>
      </c>
      <c r="Z130" s="49" t="str">
        <f t="shared" si="35"/>
        <v/>
      </c>
      <c r="AA130" s="64"/>
      <c r="AB130" s="94"/>
      <c r="AE130" s="97" t="str">
        <f t="shared" si="27"/>
        <v/>
      </c>
    </row>
    <row r="131" spans="1:31" ht="15.75">
      <c r="A131" s="62" t="str">
        <f t="shared" si="28"/>
        <v/>
      </c>
      <c r="B131" s="44"/>
      <c r="C131" s="46"/>
      <c r="D131" s="46"/>
      <c r="E131" s="50">
        <f t="shared" si="29"/>
        <v>0</v>
      </c>
      <c r="F131" s="48"/>
      <c r="G131" s="51">
        <f t="shared" si="30"/>
        <v>0</v>
      </c>
      <c r="H131" s="43"/>
      <c r="I131" s="44"/>
      <c r="J131" s="54"/>
      <c r="K131" s="48"/>
      <c r="L131" s="48"/>
      <c r="M131" s="48"/>
      <c r="N131" s="48"/>
      <c r="O131" s="48"/>
      <c r="P131" s="48"/>
      <c r="Q131" s="48"/>
      <c r="R131" s="48"/>
      <c r="S131" s="58">
        <f>IF(B131="",0,SUM(K131:R131)+SUMIFS('DESPESAS CASA'!$D$6:$D$305,'DESPESAS CASA'!$E$6:$E$305,A131))-P131</f>
        <v>0</v>
      </c>
      <c r="T131" s="51">
        <f t="shared" si="31"/>
        <v>0</v>
      </c>
      <c r="U131" s="51">
        <f t="shared" si="32"/>
        <v>0</v>
      </c>
      <c r="V131" s="51">
        <f t="shared" si="33"/>
        <v>0</v>
      </c>
      <c r="W131" s="52">
        <f t="shared" si="34"/>
        <v>0</v>
      </c>
      <c r="X131" s="48"/>
      <c r="Y131" s="58">
        <f t="shared" si="25"/>
        <v>0</v>
      </c>
      <c r="Z131" s="49" t="str">
        <f t="shared" si="35"/>
        <v/>
      </c>
      <c r="AA131" s="64"/>
      <c r="AB131" s="94"/>
      <c r="AE131" s="97" t="str">
        <f t="shared" si="27"/>
        <v/>
      </c>
    </row>
    <row r="132" spans="1:31" ht="15.75">
      <c r="A132" s="62" t="str">
        <f t="shared" ref="A132:A163" si="36">IF(B132="","","LOC-"&amp;TEXT(ROW()-5,"000"))</f>
        <v/>
      </c>
      <c r="B132" s="44"/>
      <c r="C132" s="46"/>
      <c r="D132" s="46"/>
      <c r="E132" s="50">
        <f t="shared" ref="E132:E163" si="37">IF(OR(B132="",C132="",D132=""),0,MAX(0,D132-C132))</f>
        <v>0</v>
      </c>
      <c r="F132" s="48"/>
      <c r="G132" s="51">
        <f t="shared" ref="G132:G163" si="38">IF(OR(B132="",E132=0,F132=""),0,E132*F132)</f>
        <v>0</v>
      </c>
      <c r="H132" s="43"/>
      <c r="I132" s="44"/>
      <c r="J132" s="54"/>
      <c r="K132" s="48"/>
      <c r="L132" s="48"/>
      <c r="M132" s="48"/>
      <c r="N132" s="48"/>
      <c r="O132" s="48"/>
      <c r="P132" s="48"/>
      <c r="Q132" s="48"/>
      <c r="R132" s="48"/>
      <c r="S132" s="58">
        <f>IF(B132="",0,SUM(K132:R132)+SUMIFS('DESPESAS CASA'!$D$6:$D$305,'DESPESAS CASA'!$E$6:$E$305,A132))-P132</f>
        <v>0</v>
      </c>
      <c r="T132" s="51">
        <f t="shared" ref="T132:T163" si="39">IF(OR(B132="",E132=0),0,S132/E132)</f>
        <v>0</v>
      </c>
      <c r="U132" s="51">
        <f t="shared" ref="U132:U163" si="40">IF(B132="",0,G132-S132)</f>
        <v>0</v>
      </c>
      <c r="V132" s="51">
        <f t="shared" ref="V132:V163" si="41">IF(OR(B132="",E132=0),0,U132/E132)</f>
        <v>0</v>
      </c>
      <c r="W132" s="52">
        <f t="shared" ref="W132:W163" si="42">IF(OR(B132="",G132=0),0,U132/G132)</f>
        <v>0</v>
      </c>
      <c r="X132" s="48"/>
      <c r="Y132" s="58">
        <f t="shared" si="25"/>
        <v>0</v>
      </c>
      <c r="Z132" s="49" t="str">
        <f t="shared" si="35"/>
        <v/>
      </c>
      <c r="AA132" s="64"/>
      <c r="AB132" s="94"/>
      <c r="AE132" s="97" t="str">
        <f t="shared" si="27"/>
        <v/>
      </c>
    </row>
    <row r="133" spans="1:31" ht="15.75">
      <c r="A133" s="62" t="str">
        <f t="shared" si="36"/>
        <v/>
      </c>
      <c r="B133" s="44"/>
      <c r="C133" s="46"/>
      <c r="D133" s="46"/>
      <c r="E133" s="50">
        <f t="shared" si="37"/>
        <v>0</v>
      </c>
      <c r="F133" s="48"/>
      <c r="G133" s="51">
        <f t="shared" si="38"/>
        <v>0</v>
      </c>
      <c r="H133" s="43"/>
      <c r="I133" s="44"/>
      <c r="J133" s="54"/>
      <c r="K133" s="48"/>
      <c r="L133" s="48"/>
      <c r="M133" s="48"/>
      <c r="N133" s="48"/>
      <c r="O133" s="48"/>
      <c r="P133" s="48"/>
      <c r="Q133" s="48"/>
      <c r="R133" s="48"/>
      <c r="S133" s="58">
        <f>IF(B133="",0,SUM(K133:R133)+SUMIFS('DESPESAS CASA'!$D$6:$D$305,'DESPESAS CASA'!$E$6:$E$305,A133))-P133</f>
        <v>0</v>
      </c>
      <c r="T133" s="51">
        <f t="shared" si="39"/>
        <v>0</v>
      </c>
      <c r="U133" s="51">
        <f t="shared" si="40"/>
        <v>0</v>
      </c>
      <c r="V133" s="51">
        <f t="shared" si="41"/>
        <v>0</v>
      </c>
      <c r="W133" s="52">
        <f t="shared" si="42"/>
        <v>0</v>
      </c>
      <c r="X133" s="48"/>
      <c r="Y133" s="58">
        <f t="shared" ref="Y133:Y196" si="43">IF(B133="",0,IFERROR(MAX(0,G133-X133),G133))</f>
        <v>0</v>
      </c>
      <c r="Z133" s="49" t="str">
        <f t="shared" si="35"/>
        <v/>
      </c>
      <c r="AA133" s="64"/>
      <c r="AB133" s="94"/>
      <c r="AE133" s="97" t="str">
        <f t="shared" si="27"/>
        <v/>
      </c>
    </row>
    <row r="134" spans="1:31" ht="15.75">
      <c r="A134" s="62" t="str">
        <f t="shared" si="36"/>
        <v/>
      </c>
      <c r="B134" s="44"/>
      <c r="C134" s="46"/>
      <c r="D134" s="46"/>
      <c r="E134" s="50">
        <f t="shared" si="37"/>
        <v>0</v>
      </c>
      <c r="F134" s="48"/>
      <c r="G134" s="51">
        <f t="shared" si="38"/>
        <v>0</v>
      </c>
      <c r="H134" s="43"/>
      <c r="I134" s="44"/>
      <c r="J134" s="54"/>
      <c r="K134" s="48"/>
      <c r="L134" s="48"/>
      <c r="M134" s="48"/>
      <c r="N134" s="48"/>
      <c r="O134" s="48"/>
      <c r="P134" s="48"/>
      <c r="Q134" s="48"/>
      <c r="R134" s="48"/>
      <c r="S134" s="58">
        <f>IF(B134="",0,SUM(K134:R134)+SUMIFS('DESPESAS CASA'!$D$6:$D$305,'DESPESAS CASA'!$E$6:$E$305,A134))-P134</f>
        <v>0</v>
      </c>
      <c r="T134" s="51">
        <f t="shared" si="39"/>
        <v>0</v>
      </c>
      <c r="U134" s="51">
        <f t="shared" si="40"/>
        <v>0</v>
      </c>
      <c r="V134" s="51">
        <f t="shared" si="41"/>
        <v>0</v>
      </c>
      <c r="W134" s="52">
        <f t="shared" si="42"/>
        <v>0</v>
      </c>
      <c r="X134" s="48"/>
      <c r="Y134" s="58">
        <f t="shared" si="43"/>
        <v>0</v>
      </c>
      <c r="Z134" s="49" t="str">
        <f t="shared" ref="Z134:Z165" si="44">IF(B134="","",IF(COUNTIFS($C$6:$C$203,"&lt;"&amp;D134,$D$6:$D$203,"&gt;"&amp;C134,$I$6:$I$203,"&lt;&gt;Cancelada",$I$6:$I$203,"&lt;&gt;Consulta",$AB$6:$AB$203,$AB134)&gt;1,"CONFLITO","OK"))</f>
        <v/>
      </c>
      <c r="AA134" s="64"/>
      <c r="AB134" s="94"/>
      <c r="AE134" s="97" t="str">
        <f t="shared" si="27"/>
        <v/>
      </c>
    </row>
    <row r="135" spans="1:31" ht="15.75">
      <c r="A135" s="62" t="str">
        <f t="shared" si="36"/>
        <v/>
      </c>
      <c r="B135" s="44"/>
      <c r="C135" s="46"/>
      <c r="D135" s="46"/>
      <c r="E135" s="50">
        <f t="shared" si="37"/>
        <v>0</v>
      </c>
      <c r="F135" s="48"/>
      <c r="G135" s="51">
        <f t="shared" si="38"/>
        <v>0</v>
      </c>
      <c r="H135" s="43"/>
      <c r="I135" s="44"/>
      <c r="J135" s="54"/>
      <c r="K135" s="48"/>
      <c r="L135" s="48"/>
      <c r="M135" s="48"/>
      <c r="N135" s="48"/>
      <c r="O135" s="48"/>
      <c r="P135" s="48"/>
      <c r="Q135" s="48"/>
      <c r="R135" s="48"/>
      <c r="S135" s="58">
        <f>IF(B135="",0,SUM(K135:R135)+SUMIFS('DESPESAS CASA'!$D$6:$D$305,'DESPESAS CASA'!$E$6:$E$305,A135))-P135</f>
        <v>0</v>
      </c>
      <c r="T135" s="51">
        <f t="shared" si="39"/>
        <v>0</v>
      </c>
      <c r="U135" s="51">
        <f t="shared" si="40"/>
        <v>0</v>
      </c>
      <c r="V135" s="51">
        <f t="shared" si="41"/>
        <v>0</v>
      </c>
      <c r="W135" s="52">
        <f t="shared" si="42"/>
        <v>0</v>
      </c>
      <c r="X135" s="48"/>
      <c r="Y135" s="58">
        <f t="shared" si="43"/>
        <v>0</v>
      </c>
      <c r="Z135" s="49" t="str">
        <f t="shared" si="44"/>
        <v/>
      </c>
      <c r="AA135" s="64"/>
      <c r="AB135" s="94"/>
      <c r="AE135" s="97" t="str">
        <f t="shared" ref="AE135:AE198" si="45">IF((AC135+AD135)=0,"",AC135+AD135)</f>
        <v/>
      </c>
    </row>
    <row r="136" spans="1:31" ht="15.75">
      <c r="A136" s="62" t="str">
        <f t="shared" si="36"/>
        <v/>
      </c>
      <c r="B136" s="44"/>
      <c r="C136" s="46"/>
      <c r="D136" s="46"/>
      <c r="E136" s="50">
        <f t="shared" si="37"/>
        <v>0</v>
      </c>
      <c r="F136" s="48"/>
      <c r="G136" s="51">
        <f t="shared" si="38"/>
        <v>0</v>
      </c>
      <c r="H136" s="43"/>
      <c r="I136" s="44"/>
      <c r="J136" s="54"/>
      <c r="K136" s="48"/>
      <c r="L136" s="48"/>
      <c r="M136" s="48"/>
      <c r="N136" s="48"/>
      <c r="O136" s="48"/>
      <c r="P136" s="48"/>
      <c r="Q136" s="48"/>
      <c r="R136" s="48"/>
      <c r="S136" s="58">
        <f>IF(B136="",0,SUM(K136:R136)+SUMIFS('DESPESAS CASA'!$D$6:$D$305,'DESPESAS CASA'!$E$6:$E$305,A136))-P136</f>
        <v>0</v>
      </c>
      <c r="T136" s="51">
        <f t="shared" si="39"/>
        <v>0</v>
      </c>
      <c r="U136" s="51">
        <f t="shared" si="40"/>
        <v>0</v>
      </c>
      <c r="V136" s="51">
        <f t="shared" si="41"/>
        <v>0</v>
      </c>
      <c r="W136" s="52">
        <f t="shared" si="42"/>
        <v>0</v>
      </c>
      <c r="X136" s="48"/>
      <c r="Y136" s="58">
        <f t="shared" si="43"/>
        <v>0</v>
      </c>
      <c r="Z136" s="49" t="str">
        <f t="shared" si="44"/>
        <v/>
      </c>
      <c r="AA136" s="64"/>
      <c r="AB136" s="94"/>
      <c r="AE136" s="97" t="str">
        <f t="shared" si="45"/>
        <v/>
      </c>
    </row>
    <row r="137" spans="1:31" ht="15.75">
      <c r="A137" s="62" t="str">
        <f t="shared" si="36"/>
        <v/>
      </c>
      <c r="B137" s="44"/>
      <c r="C137" s="46"/>
      <c r="D137" s="46"/>
      <c r="E137" s="50">
        <f t="shared" si="37"/>
        <v>0</v>
      </c>
      <c r="F137" s="48"/>
      <c r="G137" s="51">
        <f t="shared" si="38"/>
        <v>0</v>
      </c>
      <c r="H137" s="43"/>
      <c r="I137" s="44"/>
      <c r="J137" s="54"/>
      <c r="K137" s="48"/>
      <c r="L137" s="48"/>
      <c r="M137" s="48"/>
      <c r="N137" s="48"/>
      <c r="O137" s="48"/>
      <c r="P137" s="48"/>
      <c r="Q137" s="48"/>
      <c r="R137" s="48"/>
      <c r="S137" s="58">
        <f>IF(B137="",0,SUM(K137:R137)+SUMIFS('DESPESAS CASA'!$D$6:$D$305,'DESPESAS CASA'!$E$6:$E$305,A137))-P137</f>
        <v>0</v>
      </c>
      <c r="T137" s="51">
        <f t="shared" si="39"/>
        <v>0</v>
      </c>
      <c r="U137" s="51">
        <f t="shared" si="40"/>
        <v>0</v>
      </c>
      <c r="V137" s="51">
        <f t="shared" si="41"/>
        <v>0</v>
      </c>
      <c r="W137" s="52">
        <f t="shared" si="42"/>
        <v>0</v>
      </c>
      <c r="X137" s="48"/>
      <c r="Y137" s="58">
        <f t="shared" si="43"/>
        <v>0</v>
      </c>
      <c r="Z137" s="49" t="str">
        <f t="shared" si="44"/>
        <v/>
      </c>
      <c r="AA137" s="64"/>
      <c r="AB137" s="94"/>
      <c r="AE137" s="97" t="str">
        <f t="shared" si="45"/>
        <v/>
      </c>
    </row>
    <row r="138" spans="1:31" ht="15.75">
      <c r="A138" s="62" t="str">
        <f t="shared" si="36"/>
        <v/>
      </c>
      <c r="B138" s="44"/>
      <c r="C138" s="46"/>
      <c r="D138" s="46"/>
      <c r="E138" s="50">
        <f t="shared" si="37"/>
        <v>0</v>
      </c>
      <c r="F138" s="48"/>
      <c r="G138" s="51">
        <f t="shared" si="38"/>
        <v>0</v>
      </c>
      <c r="H138" s="43"/>
      <c r="I138" s="44"/>
      <c r="J138" s="54"/>
      <c r="K138" s="48"/>
      <c r="L138" s="48"/>
      <c r="M138" s="48"/>
      <c r="N138" s="48"/>
      <c r="O138" s="48"/>
      <c r="P138" s="48"/>
      <c r="Q138" s="48"/>
      <c r="R138" s="48"/>
      <c r="S138" s="58">
        <f>IF(B138="",0,SUM(K138:R138)+SUMIFS('DESPESAS CASA'!$D$6:$D$305,'DESPESAS CASA'!$E$6:$E$305,A138))-P138</f>
        <v>0</v>
      </c>
      <c r="T138" s="51">
        <f t="shared" si="39"/>
        <v>0</v>
      </c>
      <c r="U138" s="51">
        <f t="shared" si="40"/>
        <v>0</v>
      </c>
      <c r="V138" s="51">
        <f t="shared" si="41"/>
        <v>0</v>
      </c>
      <c r="W138" s="52">
        <f t="shared" si="42"/>
        <v>0</v>
      </c>
      <c r="X138" s="48"/>
      <c r="Y138" s="58">
        <f t="shared" si="43"/>
        <v>0</v>
      </c>
      <c r="Z138" s="49" t="str">
        <f t="shared" si="44"/>
        <v/>
      </c>
      <c r="AA138" s="64"/>
      <c r="AB138" s="94"/>
      <c r="AE138" s="97" t="str">
        <f t="shared" si="45"/>
        <v/>
      </c>
    </row>
    <row r="139" spans="1:31" ht="15.75">
      <c r="A139" s="62" t="str">
        <f t="shared" si="36"/>
        <v/>
      </c>
      <c r="B139" s="44"/>
      <c r="C139" s="46"/>
      <c r="D139" s="46"/>
      <c r="E139" s="50">
        <f t="shared" si="37"/>
        <v>0</v>
      </c>
      <c r="F139" s="48"/>
      <c r="G139" s="51">
        <f t="shared" si="38"/>
        <v>0</v>
      </c>
      <c r="H139" s="43"/>
      <c r="I139" s="44"/>
      <c r="J139" s="54"/>
      <c r="K139" s="48"/>
      <c r="L139" s="48"/>
      <c r="M139" s="48"/>
      <c r="N139" s="48"/>
      <c r="O139" s="48"/>
      <c r="P139" s="48"/>
      <c r="Q139" s="48"/>
      <c r="R139" s="48"/>
      <c r="S139" s="58">
        <f>IF(B139="",0,SUM(K139:R139)+SUMIFS('DESPESAS CASA'!$D$6:$D$305,'DESPESAS CASA'!$E$6:$E$305,A139))-P139</f>
        <v>0</v>
      </c>
      <c r="T139" s="51">
        <f t="shared" si="39"/>
        <v>0</v>
      </c>
      <c r="U139" s="51">
        <f t="shared" si="40"/>
        <v>0</v>
      </c>
      <c r="V139" s="51">
        <f t="shared" si="41"/>
        <v>0</v>
      </c>
      <c r="W139" s="52">
        <f t="shared" si="42"/>
        <v>0</v>
      </c>
      <c r="X139" s="48"/>
      <c r="Y139" s="58">
        <f t="shared" si="43"/>
        <v>0</v>
      </c>
      <c r="Z139" s="49" t="str">
        <f t="shared" si="44"/>
        <v/>
      </c>
      <c r="AA139" s="64"/>
      <c r="AB139" s="94"/>
      <c r="AE139" s="97" t="str">
        <f t="shared" si="45"/>
        <v/>
      </c>
    </row>
    <row r="140" spans="1:31" ht="15.75">
      <c r="A140" s="62" t="str">
        <f t="shared" si="36"/>
        <v/>
      </c>
      <c r="B140" s="44"/>
      <c r="C140" s="46"/>
      <c r="D140" s="46"/>
      <c r="E140" s="50">
        <f t="shared" si="37"/>
        <v>0</v>
      </c>
      <c r="F140" s="48"/>
      <c r="G140" s="51">
        <f t="shared" si="38"/>
        <v>0</v>
      </c>
      <c r="H140" s="43"/>
      <c r="I140" s="44"/>
      <c r="J140" s="54"/>
      <c r="K140" s="48"/>
      <c r="L140" s="48"/>
      <c r="M140" s="48"/>
      <c r="N140" s="48"/>
      <c r="O140" s="48"/>
      <c r="P140" s="48"/>
      <c r="Q140" s="48"/>
      <c r="R140" s="48"/>
      <c r="S140" s="58">
        <f>IF(B140="",0,SUM(K140:R140)+SUMIFS('DESPESAS CASA'!$D$6:$D$305,'DESPESAS CASA'!$E$6:$E$305,A140))-P140</f>
        <v>0</v>
      </c>
      <c r="T140" s="51">
        <f t="shared" si="39"/>
        <v>0</v>
      </c>
      <c r="U140" s="51">
        <f t="shared" si="40"/>
        <v>0</v>
      </c>
      <c r="V140" s="51">
        <f t="shared" si="41"/>
        <v>0</v>
      </c>
      <c r="W140" s="52">
        <f t="shared" si="42"/>
        <v>0</v>
      </c>
      <c r="X140" s="48"/>
      <c r="Y140" s="58">
        <f t="shared" si="43"/>
        <v>0</v>
      </c>
      <c r="Z140" s="49" t="str">
        <f t="shared" si="44"/>
        <v/>
      </c>
      <c r="AA140" s="64"/>
      <c r="AB140" s="94"/>
      <c r="AE140" s="97" t="str">
        <f t="shared" si="45"/>
        <v/>
      </c>
    </row>
    <row r="141" spans="1:31" ht="15.75">
      <c r="A141" s="62" t="str">
        <f t="shared" si="36"/>
        <v/>
      </c>
      <c r="B141" s="44"/>
      <c r="C141" s="46"/>
      <c r="D141" s="46"/>
      <c r="E141" s="50">
        <f t="shared" si="37"/>
        <v>0</v>
      </c>
      <c r="F141" s="48"/>
      <c r="G141" s="51">
        <f t="shared" si="38"/>
        <v>0</v>
      </c>
      <c r="H141" s="43"/>
      <c r="I141" s="44"/>
      <c r="J141" s="54"/>
      <c r="K141" s="48"/>
      <c r="L141" s="48"/>
      <c r="M141" s="48"/>
      <c r="N141" s="48"/>
      <c r="O141" s="48"/>
      <c r="P141" s="48"/>
      <c r="Q141" s="48"/>
      <c r="R141" s="48"/>
      <c r="S141" s="58">
        <f>IF(B141="",0,SUM(K141:R141)+SUMIFS('DESPESAS CASA'!$D$6:$D$305,'DESPESAS CASA'!$E$6:$E$305,A141))-P141</f>
        <v>0</v>
      </c>
      <c r="T141" s="51">
        <f t="shared" si="39"/>
        <v>0</v>
      </c>
      <c r="U141" s="51">
        <f t="shared" si="40"/>
        <v>0</v>
      </c>
      <c r="V141" s="51">
        <f t="shared" si="41"/>
        <v>0</v>
      </c>
      <c r="W141" s="52">
        <f t="shared" si="42"/>
        <v>0</v>
      </c>
      <c r="X141" s="48"/>
      <c r="Y141" s="58">
        <f t="shared" si="43"/>
        <v>0</v>
      </c>
      <c r="Z141" s="49" t="str">
        <f t="shared" si="44"/>
        <v/>
      </c>
      <c r="AA141" s="64"/>
      <c r="AB141" s="94"/>
      <c r="AE141" s="97" t="str">
        <f t="shared" si="45"/>
        <v/>
      </c>
    </row>
    <row r="142" spans="1:31" ht="15.75">
      <c r="A142" s="62" t="str">
        <f t="shared" si="36"/>
        <v/>
      </c>
      <c r="B142" s="44"/>
      <c r="C142" s="46"/>
      <c r="D142" s="46"/>
      <c r="E142" s="50">
        <f t="shared" si="37"/>
        <v>0</v>
      </c>
      <c r="F142" s="48"/>
      <c r="G142" s="51">
        <f t="shared" si="38"/>
        <v>0</v>
      </c>
      <c r="H142" s="43"/>
      <c r="I142" s="44"/>
      <c r="J142" s="54"/>
      <c r="K142" s="48"/>
      <c r="L142" s="48"/>
      <c r="M142" s="48"/>
      <c r="N142" s="48"/>
      <c r="O142" s="48"/>
      <c r="P142" s="48"/>
      <c r="Q142" s="48"/>
      <c r="R142" s="48"/>
      <c r="S142" s="58">
        <f>IF(B142="",0,SUM(K142:R142)+SUMIFS('DESPESAS CASA'!$D$6:$D$305,'DESPESAS CASA'!$E$6:$E$305,A142))-P142</f>
        <v>0</v>
      </c>
      <c r="T142" s="51">
        <f t="shared" si="39"/>
        <v>0</v>
      </c>
      <c r="U142" s="51">
        <f t="shared" si="40"/>
        <v>0</v>
      </c>
      <c r="V142" s="51">
        <f t="shared" si="41"/>
        <v>0</v>
      </c>
      <c r="W142" s="52">
        <f t="shared" si="42"/>
        <v>0</v>
      </c>
      <c r="X142" s="48"/>
      <c r="Y142" s="58">
        <f t="shared" si="43"/>
        <v>0</v>
      </c>
      <c r="Z142" s="49" t="str">
        <f t="shared" si="44"/>
        <v/>
      </c>
      <c r="AA142" s="64"/>
      <c r="AB142" s="94"/>
      <c r="AE142" s="97" t="str">
        <f t="shared" si="45"/>
        <v/>
      </c>
    </row>
    <row r="143" spans="1:31" ht="15.75">
      <c r="A143" s="62" t="str">
        <f t="shared" si="36"/>
        <v/>
      </c>
      <c r="B143" s="44"/>
      <c r="C143" s="46"/>
      <c r="D143" s="46"/>
      <c r="E143" s="50">
        <f t="shared" si="37"/>
        <v>0</v>
      </c>
      <c r="F143" s="48"/>
      <c r="G143" s="51">
        <f t="shared" si="38"/>
        <v>0</v>
      </c>
      <c r="H143" s="43"/>
      <c r="I143" s="44"/>
      <c r="J143" s="54"/>
      <c r="K143" s="48"/>
      <c r="L143" s="48"/>
      <c r="M143" s="48"/>
      <c r="N143" s="48"/>
      <c r="O143" s="48"/>
      <c r="P143" s="48"/>
      <c r="Q143" s="48"/>
      <c r="R143" s="48"/>
      <c r="S143" s="58">
        <f>IF(B143="",0,SUM(K143:R143)+SUMIFS('DESPESAS CASA'!$D$6:$D$305,'DESPESAS CASA'!$E$6:$E$305,A143))-P143</f>
        <v>0</v>
      </c>
      <c r="T143" s="51">
        <f t="shared" si="39"/>
        <v>0</v>
      </c>
      <c r="U143" s="51">
        <f t="shared" si="40"/>
        <v>0</v>
      </c>
      <c r="V143" s="51">
        <f t="shared" si="41"/>
        <v>0</v>
      </c>
      <c r="W143" s="52">
        <f t="shared" si="42"/>
        <v>0</v>
      </c>
      <c r="X143" s="48"/>
      <c r="Y143" s="58">
        <f t="shared" si="43"/>
        <v>0</v>
      </c>
      <c r="Z143" s="49" t="str">
        <f t="shared" si="44"/>
        <v/>
      </c>
      <c r="AA143" s="64"/>
      <c r="AB143" s="94"/>
      <c r="AE143" s="97" t="str">
        <f t="shared" si="45"/>
        <v/>
      </c>
    </row>
    <row r="144" spans="1:31" ht="15.75">
      <c r="A144" s="62" t="str">
        <f t="shared" si="36"/>
        <v/>
      </c>
      <c r="B144" s="44"/>
      <c r="C144" s="46"/>
      <c r="D144" s="46"/>
      <c r="E144" s="50">
        <f t="shared" si="37"/>
        <v>0</v>
      </c>
      <c r="F144" s="48"/>
      <c r="G144" s="51">
        <f t="shared" si="38"/>
        <v>0</v>
      </c>
      <c r="H144" s="43"/>
      <c r="I144" s="44"/>
      <c r="J144" s="54"/>
      <c r="K144" s="48"/>
      <c r="L144" s="48"/>
      <c r="M144" s="48"/>
      <c r="N144" s="48"/>
      <c r="O144" s="48"/>
      <c r="P144" s="48"/>
      <c r="Q144" s="48"/>
      <c r="R144" s="48"/>
      <c r="S144" s="58">
        <f>IF(B144="",0,SUM(K144:R144)+SUMIFS('DESPESAS CASA'!$D$6:$D$305,'DESPESAS CASA'!$E$6:$E$305,A144))-P144</f>
        <v>0</v>
      </c>
      <c r="T144" s="51">
        <f t="shared" si="39"/>
        <v>0</v>
      </c>
      <c r="U144" s="51">
        <f t="shared" si="40"/>
        <v>0</v>
      </c>
      <c r="V144" s="51">
        <f t="shared" si="41"/>
        <v>0</v>
      </c>
      <c r="W144" s="52">
        <f t="shared" si="42"/>
        <v>0</v>
      </c>
      <c r="X144" s="48"/>
      <c r="Y144" s="58">
        <f t="shared" si="43"/>
        <v>0</v>
      </c>
      <c r="Z144" s="49" t="str">
        <f t="shared" si="44"/>
        <v/>
      </c>
      <c r="AA144" s="64"/>
      <c r="AB144" s="94"/>
      <c r="AE144" s="97" t="str">
        <f t="shared" si="45"/>
        <v/>
      </c>
    </row>
    <row r="145" spans="1:31" ht="15.75">
      <c r="A145" s="62" t="str">
        <f t="shared" si="36"/>
        <v/>
      </c>
      <c r="B145" s="44"/>
      <c r="C145" s="46"/>
      <c r="D145" s="46"/>
      <c r="E145" s="50">
        <f t="shared" si="37"/>
        <v>0</v>
      </c>
      <c r="F145" s="48"/>
      <c r="G145" s="51">
        <f t="shared" si="38"/>
        <v>0</v>
      </c>
      <c r="H145" s="43"/>
      <c r="I145" s="44"/>
      <c r="J145" s="54"/>
      <c r="K145" s="48"/>
      <c r="L145" s="48"/>
      <c r="M145" s="48"/>
      <c r="N145" s="48"/>
      <c r="O145" s="48"/>
      <c r="P145" s="48"/>
      <c r="Q145" s="48"/>
      <c r="R145" s="48"/>
      <c r="S145" s="58">
        <f>IF(B145="",0,SUM(K145:R145)+SUMIFS('DESPESAS CASA'!$D$6:$D$305,'DESPESAS CASA'!$E$6:$E$305,A145))-P145</f>
        <v>0</v>
      </c>
      <c r="T145" s="51">
        <f t="shared" si="39"/>
        <v>0</v>
      </c>
      <c r="U145" s="51">
        <f t="shared" si="40"/>
        <v>0</v>
      </c>
      <c r="V145" s="51">
        <f t="shared" si="41"/>
        <v>0</v>
      </c>
      <c r="W145" s="52">
        <f t="shared" si="42"/>
        <v>0</v>
      </c>
      <c r="X145" s="48"/>
      <c r="Y145" s="58">
        <f t="shared" si="43"/>
        <v>0</v>
      </c>
      <c r="Z145" s="49" t="str">
        <f t="shared" si="44"/>
        <v/>
      </c>
      <c r="AA145" s="64"/>
      <c r="AB145" s="94"/>
      <c r="AE145" s="97" t="str">
        <f t="shared" si="45"/>
        <v/>
      </c>
    </row>
    <row r="146" spans="1:31" ht="15.75">
      <c r="A146" s="62" t="str">
        <f t="shared" si="36"/>
        <v/>
      </c>
      <c r="B146" s="44"/>
      <c r="C146" s="46"/>
      <c r="D146" s="46"/>
      <c r="E146" s="50">
        <f t="shared" si="37"/>
        <v>0</v>
      </c>
      <c r="F146" s="48"/>
      <c r="G146" s="51">
        <f t="shared" si="38"/>
        <v>0</v>
      </c>
      <c r="H146" s="43"/>
      <c r="I146" s="44"/>
      <c r="J146" s="54"/>
      <c r="K146" s="48"/>
      <c r="L146" s="48"/>
      <c r="M146" s="48"/>
      <c r="N146" s="48"/>
      <c r="O146" s="48"/>
      <c r="P146" s="48"/>
      <c r="Q146" s="48"/>
      <c r="R146" s="48"/>
      <c r="S146" s="58">
        <f>IF(B146="",0,SUM(K146:R146)+SUMIFS('DESPESAS CASA'!$D$6:$D$305,'DESPESAS CASA'!$E$6:$E$305,A146))-P146</f>
        <v>0</v>
      </c>
      <c r="T146" s="51">
        <f t="shared" si="39"/>
        <v>0</v>
      </c>
      <c r="U146" s="51">
        <f t="shared" si="40"/>
        <v>0</v>
      </c>
      <c r="V146" s="51">
        <f t="shared" si="41"/>
        <v>0</v>
      </c>
      <c r="W146" s="52">
        <f t="shared" si="42"/>
        <v>0</v>
      </c>
      <c r="X146" s="48"/>
      <c r="Y146" s="58">
        <f t="shared" si="43"/>
        <v>0</v>
      </c>
      <c r="Z146" s="49" t="str">
        <f t="shared" si="44"/>
        <v/>
      </c>
      <c r="AA146" s="64"/>
      <c r="AB146" s="94"/>
      <c r="AE146" s="97" t="str">
        <f t="shared" si="45"/>
        <v/>
      </c>
    </row>
    <row r="147" spans="1:31" ht="15.75">
      <c r="A147" s="62" t="str">
        <f t="shared" si="36"/>
        <v/>
      </c>
      <c r="B147" s="44"/>
      <c r="C147" s="46"/>
      <c r="D147" s="46"/>
      <c r="E147" s="50">
        <f t="shared" si="37"/>
        <v>0</v>
      </c>
      <c r="F147" s="48"/>
      <c r="G147" s="51">
        <f t="shared" si="38"/>
        <v>0</v>
      </c>
      <c r="H147" s="43"/>
      <c r="I147" s="44"/>
      <c r="J147" s="54"/>
      <c r="K147" s="48"/>
      <c r="L147" s="48"/>
      <c r="M147" s="48"/>
      <c r="N147" s="48"/>
      <c r="O147" s="48"/>
      <c r="P147" s="48"/>
      <c r="Q147" s="48"/>
      <c r="R147" s="48"/>
      <c r="S147" s="58">
        <f>IF(B147="",0,SUM(K147:R147)+SUMIFS('DESPESAS CASA'!$D$6:$D$305,'DESPESAS CASA'!$E$6:$E$305,A147))-P147</f>
        <v>0</v>
      </c>
      <c r="T147" s="51">
        <f t="shared" si="39"/>
        <v>0</v>
      </c>
      <c r="U147" s="51">
        <f t="shared" si="40"/>
        <v>0</v>
      </c>
      <c r="V147" s="51">
        <f t="shared" si="41"/>
        <v>0</v>
      </c>
      <c r="W147" s="52">
        <f t="shared" si="42"/>
        <v>0</v>
      </c>
      <c r="X147" s="48"/>
      <c r="Y147" s="58">
        <f t="shared" si="43"/>
        <v>0</v>
      </c>
      <c r="Z147" s="49" t="str">
        <f t="shared" si="44"/>
        <v/>
      </c>
      <c r="AA147" s="64"/>
      <c r="AB147" s="94"/>
      <c r="AE147" s="97" t="str">
        <f t="shared" si="45"/>
        <v/>
      </c>
    </row>
    <row r="148" spans="1:31" ht="15.75">
      <c r="A148" s="62" t="str">
        <f t="shared" si="36"/>
        <v/>
      </c>
      <c r="B148" s="44"/>
      <c r="C148" s="46"/>
      <c r="D148" s="46"/>
      <c r="E148" s="50">
        <f t="shared" si="37"/>
        <v>0</v>
      </c>
      <c r="F148" s="48"/>
      <c r="G148" s="51">
        <f t="shared" si="38"/>
        <v>0</v>
      </c>
      <c r="H148" s="43"/>
      <c r="I148" s="44"/>
      <c r="J148" s="54"/>
      <c r="K148" s="48"/>
      <c r="L148" s="48"/>
      <c r="M148" s="48"/>
      <c r="N148" s="48"/>
      <c r="O148" s="48"/>
      <c r="P148" s="48"/>
      <c r="Q148" s="48"/>
      <c r="R148" s="48"/>
      <c r="S148" s="58">
        <f>IF(B148="",0,SUM(K148:R148)+SUMIFS('DESPESAS CASA'!$D$6:$D$305,'DESPESAS CASA'!$E$6:$E$305,A148))-P148</f>
        <v>0</v>
      </c>
      <c r="T148" s="51">
        <f t="shared" si="39"/>
        <v>0</v>
      </c>
      <c r="U148" s="51">
        <f t="shared" si="40"/>
        <v>0</v>
      </c>
      <c r="V148" s="51">
        <f t="shared" si="41"/>
        <v>0</v>
      </c>
      <c r="W148" s="52">
        <f t="shared" si="42"/>
        <v>0</v>
      </c>
      <c r="X148" s="48"/>
      <c r="Y148" s="58">
        <f t="shared" si="43"/>
        <v>0</v>
      </c>
      <c r="Z148" s="49" t="str">
        <f t="shared" si="44"/>
        <v/>
      </c>
      <c r="AA148" s="64"/>
      <c r="AB148" s="94"/>
      <c r="AE148" s="97" t="str">
        <f t="shared" si="45"/>
        <v/>
      </c>
    </row>
    <row r="149" spans="1:31" ht="15.75">
      <c r="A149" s="62" t="str">
        <f t="shared" si="36"/>
        <v/>
      </c>
      <c r="B149" s="44"/>
      <c r="C149" s="46"/>
      <c r="D149" s="46"/>
      <c r="E149" s="50">
        <f t="shared" si="37"/>
        <v>0</v>
      </c>
      <c r="F149" s="48"/>
      <c r="G149" s="51">
        <f t="shared" si="38"/>
        <v>0</v>
      </c>
      <c r="H149" s="43"/>
      <c r="I149" s="44"/>
      <c r="J149" s="54"/>
      <c r="K149" s="48"/>
      <c r="L149" s="48"/>
      <c r="M149" s="48"/>
      <c r="N149" s="48"/>
      <c r="O149" s="48"/>
      <c r="P149" s="48"/>
      <c r="Q149" s="48"/>
      <c r="R149" s="48"/>
      <c r="S149" s="58">
        <f>IF(B149="",0,SUM(K149:R149)+SUMIFS('DESPESAS CASA'!$D$6:$D$305,'DESPESAS CASA'!$E$6:$E$305,A149))-P149</f>
        <v>0</v>
      </c>
      <c r="T149" s="51">
        <f t="shared" si="39"/>
        <v>0</v>
      </c>
      <c r="U149" s="51">
        <f t="shared" si="40"/>
        <v>0</v>
      </c>
      <c r="V149" s="51">
        <f t="shared" si="41"/>
        <v>0</v>
      </c>
      <c r="W149" s="52">
        <f t="shared" si="42"/>
        <v>0</v>
      </c>
      <c r="X149" s="48"/>
      <c r="Y149" s="58">
        <f t="shared" si="43"/>
        <v>0</v>
      </c>
      <c r="Z149" s="49" t="str">
        <f t="shared" si="44"/>
        <v/>
      </c>
      <c r="AA149" s="64"/>
      <c r="AB149" s="94"/>
      <c r="AE149" s="97" t="str">
        <f t="shared" si="45"/>
        <v/>
      </c>
    </row>
    <row r="150" spans="1:31" ht="15.75">
      <c r="A150" s="62" t="str">
        <f t="shared" si="36"/>
        <v/>
      </c>
      <c r="B150" s="44"/>
      <c r="C150" s="46"/>
      <c r="D150" s="46"/>
      <c r="E150" s="50">
        <f t="shared" si="37"/>
        <v>0</v>
      </c>
      <c r="F150" s="48"/>
      <c r="G150" s="51">
        <f t="shared" si="38"/>
        <v>0</v>
      </c>
      <c r="H150" s="43"/>
      <c r="I150" s="44"/>
      <c r="J150" s="54"/>
      <c r="K150" s="48"/>
      <c r="L150" s="48"/>
      <c r="M150" s="48"/>
      <c r="N150" s="48"/>
      <c r="O150" s="48"/>
      <c r="P150" s="48"/>
      <c r="Q150" s="48"/>
      <c r="R150" s="48"/>
      <c r="S150" s="58">
        <f>IF(B150="",0,SUM(K150:R150)+SUMIFS('DESPESAS CASA'!$D$6:$D$305,'DESPESAS CASA'!$E$6:$E$305,A150))-P150</f>
        <v>0</v>
      </c>
      <c r="T150" s="51">
        <f t="shared" si="39"/>
        <v>0</v>
      </c>
      <c r="U150" s="51">
        <f t="shared" si="40"/>
        <v>0</v>
      </c>
      <c r="V150" s="51">
        <f t="shared" si="41"/>
        <v>0</v>
      </c>
      <c r="W150" s="52">
        <f t="shared" si="42"/>
        <v>0</v>
      </c>
      <c r="X150" s="48"/>
      <c r="Y150" s="58">
        <f t="shared" si="43"/>
        <v>0</v>
      </c>
      <c r="Z150" s="49" t="str">
        <f t="shared" si="44"/>
        <v/>
      </c>
      <c r="AA150" s="64"/>
      <c r="AB150" s="94"/>
      <c r="AE150" s="97" t="str">
        <f t="shared" si="45"/>
        <v/>
      </c>
    </row>
    <row r="151" spans="1:31" ht="15.75">
      <c r="A151" s="62" t="str">
        <f t="shared" si="36"/>
        <v/>
      </c>
      <c r="B151" s="44"/>
      <c r="C151" s="46"/>
      <c r="D151" s="46"/>
      <c r="E151" s="50">
        <f t="shared" si="37"/>
        <v>0</v>
      </c>
      <c r="F151" s="48"/>
      <c r="G151" s="51">
        <f t="shared" si="38"/>
        <v>0</v>
      </c>
      <c r="H151" s="43"/>
      <c r="I151" s="44"/>
      <c r="J151" s="54"/>
      <c r="K151" s="48"/>
      <c r="L151" s="48"/>
      <c r="M151" s="48"/>
      <c r="N151" s="48"/>
      <c r="O151" s="48"/>
      <c r="P151" s="48"/>
      <c r="Q151" s="48"/>
      <c r="R151" s="48"/>
      <c r="S151" s="58">
        <f>IF(B151="",0,SUM(K151:R151)+SUMIFS('DESPESAS CASA'!$D$6:$D$305,'DESPESAS CASA'!$E$6:$E$305,A151))-P151</f>
        <v>0</v>
      </c>
      <c r="T151" s="51">
        <f t="shared" si="39"/>
        <v>0</v>
      </c>
      <c r="U151" s="51">
        <f t="shared" si="40"/>
        <v>0</v>
      </c>
      <c r="V151" s="51">
        <f t="shared" si="41"/>
        <v>0</v>
      </c>
      <c r="W151" s="52">
        <f t="shared" si="42"/>
        <v>0</v>
      </c>
      <c r="X151" s="48"/>
      <c r="Y151" s="58">
        <f t="shared" si="43"/>
        <v>0</v>
      </c>
      <c r="Z151" s="49" t="str">
        <f t="shared" si="44"/>
        <v/>
      </c>
      <c r="AA151" s="64"/>
      <c r="AB151" s="94"/>
      <c r="AE151" s="97" t="str">
        <f t="shared" si="45"/>
        <v/>
      </c>
    </row>
    <row r="152" spans="1:31" ht="15.75">
      <c r="A152" s="62" t="str">
        <f t="shared" si="36"/>
        <v/>
      </c>
      <c r="B152" s="44"/>
      <c r="C152" s="46"/>
      <c r="D152" s="46"/>
      <c r="E152" s="50">
        <f t="shared" si="37"/>
        <v>0</v>
      </c>
      <c r="F152" s="48"/>
      <c r="G152" s="51">
        <f t="shared" si="38"/>
        <v>0</v>
      </c>
      <c r="H152" s="43"/>
      <c r="I152" s="44"/>
      <c r="J152" s="54"/>
      <c r="K152" s="48"/>
      <c r="L152" s="48"/>
      <c r="M152" s="48"/>
      <c r="N152" s="48"/>
      <c r="O152" s="48"/>
      <c r="P152" s="48"/>
      <c r="Q152" s="48"/>
      <c r="R152" s="48"/>
      <c r="S152" s="58">
        <f>IF(B152="",0,SUM(K152:R152)+SUMIFS('DESPESAS CASA'!$D$6:$D$305,'DESPESAS CASA'!$E$6:$E$305,A152))-P152</f>
        <v>0</v>
      </c>
      <c r="T152" s="51">
        <f t="shared" si="39"/>
        <v>0</v>
      </c>
      <c r="U152" s="51">
        <f t="shared" si="40"/>
        <v>0</v>
      </c>
      <c r="V152" s="51">
        <f t="shared" si="41"/>
        <v>0</v>
      </c>
      <c r="W152" s="52">
        <f t="shared" si="42"/>
        <v>0</v>
      </c>
      <c r="X152" s="48"/>
      <c r="Y152" s="58">
        <f t="shared" si="43"/>
        <v>0</v>
      </c>
      <c r="Z152" s="49" t="str">
        <f t="shared" si="44"/>
        <v/>
      </c>
      <c r="AA152" s="64"/>
      <c r="AB152" s="94"/>
      <c r="AE152" s="97" t="str">
        <f t="shared" si="45"/>
        <v/>
      </c>
    </row>
    <row r="153" spans="1:31" ht="15.75">
      <c r="A153" s="62" t="str">
        <f t="shared" si="36"/>
        <v/>
      </c>
      <c r="B153" s="44"/>
      <c r="C153" s="46"/>
      <c r="D153" s="46"/>
      <c r="E153" s="50">
        <f t="shared" si="37"/>
        <v>0</v>
      </c>
      <c r="F153" s="48"/>
      <c r="G153" s="51">
        <f t="shared" si="38"/>
        <v>0</v>
      </c>
      <c r="H153" s="43"/>
      <c r="I153" s="44"/>
      <c r="J153" s="54"/>
      <c r="K153" s="48"/>
      <c r="L153" s="48"/>
      <c r="M153" s="48"/>
      <c r="N153" s="48"/>
      <c r="O153" s="48"/>
      <c r="P153" s="48"/>
      <c r="Q153" s="48"/>
      <c r="R153" s="48"/>
      <c r="S153" s="58">
        <f>IF(B153="",0,SUM(K153:R153)+SUMIFS('DESPESAS CASA'!$D$6:$D$305,'DESPESAS CASA'!$E$6:$E$305,A153))-P153</f>
        <v>0</v>
      </c>
      <c r="T153" s="51">
        <f t="shared" si="39"/>
        <v>0</v>
      </c>
      <c r="U153" s="51">
        <f t="shared" si="40"/>
        <v>0</v>
      </c>
      <c r="V153" s="51">
        <f t="shared" si="41"/>
        <v>0</v>
      </c>
      <c r="W153" s="52">
        <f t="shared" si="42"/>
        <v>0</v>
      </c>
      <c r="X153" s="48"/>
      <c r="Y153" s="58">
        <f t="shared" si="43"/>
        <v>0</v>
      </c>
      <c r="Z153" s="49" t="str">
        <f t="shared" si="44"/>
        <v/>
      </c>
      <c r="AA153" s="64"/>
      <c r="AB153" s="94"/>
      <c r="AE153" s="97" t="str">
        <f t="shared" si="45"/>
        <v/>
      </c>
    </row>
    <row r="154" spans="1:31" ht="15.75">
      <c r="A154" s="62" t="str">
        <f t="shared" si="36"/>
        <v/>
      </c>
      <c r="B154" s="44"/>
      <c r="C154" s="46"/>
      <c r="D154" s="46"/>
      <c r="E154" s="50">
        <f t="shared" si="37"/>
        <v>0</v>
      </c>
      <c r="F154" s="48"/>
      <c r="G154" s="51">
        <f t="shared" si="38"/>
        <v>0</v>
      </c>
      <c r="H154" s="43"/>
      <c r="I154" s="44"/>
      <c r="J154" s="54"/>
      <c r="K154" s="48"/>
      <c r="L154" s="48"/>
      <c r="M154" s="48"/>
      <c r="N154" s="48"/>
      <c r="O154" s="48"/>
      <c r="P154" s="48"/>
      <c r="Q154" s="48"/>
      <c r="R154" s="48"/>
      <c r="S154" s="58">
        <f>IF(B154="",0,SUM(K154:R154)+SUMIFS('DESPESAS CASA'!$D$6:$D$305,'DESPESAS CASA'!$E$6:$E$305,A154))-P154</f>
        <v>0</v>
      </c>
      <c r="T154" s="51">
        <f t="shared" si="39"/>
        <v>0</v>
      </c>
      <c r="U154" s="51">
        <f t="shared" si="40"/>
        <v>0</v>
      </c>
      <c r="V154" s="51">
        <f t="shared" si="41"/>
        <v>0</v>
      </c>
      <c r="W154" s="52">
        <f t="shared" si="42"/>
        <v>0</v>
      </c>
      <c r="X154" s="48"/>
      <c r="Y154" s="58">
        <f t="shared" si="43"/>
        <v>0</v>
      </c>
      <c r="Z154" s="49" t="str">
        <f t="shared" si="44"/>
        <v/>
      </c>
      <c r="AA154" s="64"/>
      <c r="AB154" s="94"/>
      <c r="AE154" s="97" t="str">
        <f t="shared" si="45"/>
        <v/>
      </c>
    </row>
    <row r="155" spans="1:31" ht="15.75">
      <c r="A155" s="62" t="str">
        <f t="shared" si="36"/>
        <v/>
      </c>
      <c r="B155" s="44"/>
      <c r="C155" s="46"/>
      <c r="D155" s="46"/>
      <c r="E155" s="50">
        <f t="shared" si="37"/>
        <v>0</v>
      </c>
      <c r="F155" s="48"/>
      <c r="G155" s="51">
        <f t="shared" si="38"/>
        <v>0</v>
      </c>
      <c r="H155" s="43"/>
      <c r="I155" s="44"/>
      <c r="J155" s="54"/>
      <c r="K155" s="48"/>
      <c r="L155" s="48"/>
      <c r="M155" s="48"/>
      <c r="N155" s="48"/>
      <c r="O155" s="48"/>
      <c r="P155" s="48"/>
      <c r="Q155" s="48"/>
      <c r="R155" s="48"/>
      <c r="S155" s="58">
        <f>IF(B155="",0,SUM(K155:R155)+SUMIFS('DESPESAS CASA'!$D$6:$D$305,'DESPESAS CASA'!$E$6:$E$305,A155))-P155</f>
        <v>0</v>
      </c>
      <c r="T155" s="51">
        <f t="shared" si="39"/>
        <v>0</v>
      </c>
      <c r="U155" s="51">
        <f t="shared" si="40"/>
        <v>0</v>
      </c>
      <c r="V155" s="51">
        <f t="shared" si="41"/>
        <v>0</v>
      </c>
      <c r="W155" s="52">
        <f t="shared" si="42"/>
        <v>0</v>
      </c>
      <c r="X155" s="48"/>
      <c r="Y155" s="58">
        <f t="shared" si="43"/>
        <v>0</v>
      </c>
      <c r="Z155" s="49" t="str">
        <f t="shared" si="44"/>
        <v/>
      </c>
      <c r="AA155" s="64"/>
      <c r="AB155" s="94"/>
      <c r="AE155" s="97" t="str">
        <f t="shared" si="45"/>
        <v/>
      </c>
    </row>
    <row r="156" spans="1:31" ht="15.75">
      <c r="A156" s="62" t="str">
        <f t="shared" si="36"/>
        <v/>
      </c>
      <c r="B156" s="44"/>
      <c r="C156" s="46"/>
      <c r="D156" s="46"/>
      <c r="E156" s="50">
        <f t="shared" si="37"/>
        <v>0</v>
      </c>
      <c r="F156" s="48"/>
      <c r="G156" s="51">
        <f t="shared" si="38"/>
        <v>0</v>
      </c>
      <c r="H156" s="43"/>
      <c r="I156" s="44"/>
      <c r="J156" s="54"/>
      <c r="K156" s="48"/>
      <c r="L156" s="48"/>
      <c r="M156" s="48"/>
      <c r="N156" s="48"/>
      <c r="O156" s="48"/>
      <c r="P156" s="48"/>
      <c r="Q156" s="48"/>
      <c r="R156" s="48"/>
      <c r="S156" s="58">
        <f>IF(B156="",0,SUM(K156:R156)+SUMIFS('DESPESAS CASA'!$D$6:$D$305,'DESPESAS CASA'!$E$6:$E$305,A156))-P156</f>
        <v>0</v>
      </c>
      <c r="T156" s="51">
        <f t="shared" si="39"/>
        <v>0</v>
      </c>
      <c r="U156" s="51">
        <f t="shared" si="40"/>
        <v>0</v>
      </c>
      <c r="V156" s="51">
        <f t="shared" si="41"/>
        <v>0</v>
      </c>
      <c r="W156" s="52">
        <f t="shared" si="42"/>
        <v>0</v>
      </c>
      <c r="X156" s="48"/>
      <c r="Y156" s="58">
        <f t="shared" si="43"/>
        <v>0</v>
      </c>
      <c r="Z156" s="49" t="str">
        <f t="shared" si="44"/>
        <v/>
      </c>
      <c r="AA156" s="64"/>
      <c r="AB156" s="94"/>
      <c r="AE156" s="97" t="str">
        <f t="shared" si="45"/>
        <v/>
      </c>
    </row>
    <row r="157" spans="1:31" ht="15.75">
      <c r="A157" s="62" t="str">
        <f t="shared" si="36"/>
        <v/>
      </c>
      <c r="B157" s="44"/>
      <c r="C157" s="46"/>
      <c r="D157" s="46"/>
      <c r="E157" s="50">
        <f t="shared" si="37"/>
        <v>0</v>
      </c>
      <c r="F157" s="48"/>
      <c r="G157" s="51">
        <f t="shared" si="38"/>
        <v>0</v>
      </c>
      <c r="H157" s="43"/>
      <c r="I157" s="44"/>
      <c r="J157" s="54"/>
      <c r="K157" s="48"/>
      <c r="L157" s="48"/>
      <c r="M157" s="48"/>
      <c r="N157" s="48"/>
      <c r="O157" s="48"/>
      <c r="P157" s="48"/>
      <c r="Q157" s="48"/>
      <c r="R157" s="48"/>
      <c r="S157" s="58">
        <f>IF(B157="",0,SUM(K157:R157)+SUMIFS('DESPESAS CASA'!$D$6:$D$305,'DESPESAS CASA'!$E$6:$E$305,A157))-P157</f>
        <v>0</v>
      </c>
      <c r="T157" s="51">
        <f t="shared" si="39"/>
        <v>0</v>
      </c>
      <c r="U157" s="51">
        <f t="shared" si="40"/>
        <v>0</v>
      </c>
      <c r="V157" s="51">
        <f t="shared" si="41"/>
        <v>0</v>
      </c>
      <c r="W157" s="52">
        <f t="shared" si="42"/>
        <v>0</v>
      </c>
      <c r="X157" s="48"/>
      <c r="Y157" s="58">
        <f t="shared" si="43"/>
        <v>0</v>
      </c>
      <c r="Z157" s="49" t="str">
        <f t="shared" si="44"/>
        <v/>
      </c>
      <c r="AA157" s="64"/>
      <c r="AB157" s="94"/>
      <c r="AE157" s="97" t="str">
        <f t="shared" si="45"/>
        <v/>
      </c>
    </row>
    <row r="158" spans="1:31" ht="15.75">
      <c r="A158" s="62" t="str">
        <f t="shared" si="36"/>
        <v/>
      </c>
      <c r="B158" s="44"/>
      <c r="C158" s="46"/>
      <c r="D158" s="46"/>
      <c r="E158" s="50">
        <f t="shared" si="37"/>
        <v>0</v>
      </c>
      <c r="F158" s="48"/>
      <c r="G158" s="51">
        <f t="shared" si="38"/>
        <v>0</v>
      </c>
      <c r="H158" s="43"/>
      <c r="I158" s="44"/>
      <c r="J158" s="54"/>
      <c r="K158" s="48"/>
      <c r="L158" s="48"/>
      <c r="M158" s="48"/>
      <c r="N158" s="48"/>
      <c r="O158" s="48"/>
      <c r="P158" s="48"/>
      <c r="Q158" s="48"/>
      <c r="R158" s="48"/>
      <c r="S158" s="58">
        <f>IF(B158="",0,SUM(K158:R158)+SUMIFS('DESPESAS CASA'!$D$6:$D$305,'DESPESAS CASA'!$E$6:$E$305,A158))-P158</f>
        <v>0</v>
      </c>
      <c r="T158" s="51">
        <f t="shared" si="39"/>
        <v>0</v>
      </c>
      <c r="U158" s="51">
        <f t="shared" si="40"/>
        <v>0</v>
      </c>
      <c r="V158" s="51">
        <f t="shared" si="41"/>
        <v>0</v>
      </c>
      <c r="W158" s="52">
        <f t="shared" si="42"/>
        <v>0</v>
      </c>
      <c r="X158" s="48"/>
      <c r="Y158" s="58">
        <f t="shared" si="43"/>
        <v>0</v>
      </c>
      <c r="Z158" s="49" t="str">
        <f t="shared" si="44"/>
        <v/>
      </c>
      <c r="AA158" s="64"/>
      <c r="AB158" s="94"/>
      <c r="AE158" s="97" t="str">
        <f t="shared" si="45"/>
        <v/>
      </c>
    </row>
    <row r="159" spans="1:31" ht="15.75">
      <c r="A159" s="62" t="str">
        <f t="shared" si="36"/>
        <v/>
      </c>
      <c r="B159" s="44"/>
      <c r="C159" s="46"/>
      <c r="D159" s="46"/>
      <c r="E159" s="50">
        <f t="shared" si="37"/>
        <v>0</v>
      </c>
      <c r="F159" s="48"/>
      <c r="G159" s="51">
        <f t="shared" si="38"/>
        <v>0</v>
      </c>
      <c r="H159" s="43"/>
      <c r="I159" s="44"/>
      <c r="J159" s="54"/>
      <c r="K159" s="48"/>
      <c r="L159" s="48"/>
      <c r="M159" s="48"/>
      <c r="N159" s="48"/>
      <c r="O159" s="48"/>
      <c r="P159" s="48"/>
      <c r="Q159" s="48"/>
      <c r="R159" s="48"/>
      <c r="S159" s="58">
        <f>IF(B159="",0,SUM(K159:R159)+SUMIFS('DESPESAS CASA'!$D$6:$D$305,'DESPESAS CASA'!$E$6:$E$305,A159))-P159</f>
        <v>0</v>
      </c>
      <c r="T159" s="51">
        <f t="shared" si="39"/>
        <v>0</v>
      </c>
      <c r="U159" s="51">
        <f t="shared" si="40"/>
        <v>0</v>
      </c>
      <c r="V159" s="51">
        <f t="shared" si="41"/>
        <v>0</v>
      </c>
      <c r="W159" s="52">
        <f t="shared" si="42"/>
        <v>0</v>
      </c>
      <c r="X159" s="48"/>
      <c r="Y159" s="58">
        <f t="shared" si="43"/>
        <v>0</v>
      </c>
      <c r="Z159" s="49" t="str">
        <f t="shared" si="44"/>
        <v/>
      </c>
      <c r="AA159" s="64"/>
      <c r="AB159" s="94"/>
      <c r="AE159" s="97" t="str">
        <f t="shared" si="45"/>
        <v/>
      </c>
    </row>
    <row r="160" spans="1:31" ht="15.75">
      <c r="A160" s="62" t="str">
        <f t="shared" si="36"/>
        <v/>
      </c>
      <c r="B160" s="44"/>
      <c r="C160" s="46"/>
      <c r="D160" s="46"/>
      <c r="E160" s="50">
        <f t="shared" si="37"/>
        <v>0</v>
      </c>
      <c r="F160" s="48"/>
      <c r="G160" s="51">
        <f t="shared" si="38"/>
        <v>0</v>
      </c>
      <c r="H160" s="43"/>
      <c r="I160" s="44"/>
      <c r="J160" s="54"/>
      <c r="K160" s="48"/>
      <c r="L160" s="48"/>
      <c r="M160" s="48"/>
      <c r="N160" s="48"/>
      <c r="O160" s="48"/>
      <c r="P160" s="48"/>
      <c r="Q160" s="48"/>
      <c r="R160" s="48"/>
      <c r="S160" s="58">
        <f>IF(B160="",0,SUM(K160:R160)+SUMIFS('DESPESAS CASA'!$D$6:$D$305,'DESPESAS CASA'!$E$6:$E$305,A160))-P160</f>
        <v>0</v>
      </c>
      <c r="T160" s="51">
        <f t="shared" si="39"/>
        <v>0</v>
      </c>
      <c r="U160" s="51">
        <f t="shared" si="40"/>
        <v>0</v>
      </c>
      <c r="V160" s="51">
        <f t="shared" si="41"/>
        <v>0</v>
      </c>
      <c r="W160" s="52">
        <f t="shared" si="42"/>
        <v>0</v>
      </c>
      <c r="X160" s="48"/>
      <c r="Y160" s="58">
        <f t="shared" si="43"/>
        <v>0</v>
      </c>
      <c r="Z160" s="49" t="str">
        <f t="shared" si="44"/>
        <v/>
      </c>
      <c r="AA160" s="64"/>
      <c r="AB160" s="94"/>
      <c r="AE160" s="97" t="str">
        <f t="shared" si="45"/>
        <v/>
      </c>
    </row>
    <row r="161" spans="1:31" ht="15.75">
      <c r="A161" s="62" t="str">
        <f t="shared" si="36"/>
        <v/>
      </c>
      <c r="B161" s="44"/>
      <c r="C161" s="46"/>
      <c r="D161" s="46"/>
      <c r="E161" s="50">
        <f t="shared" si="37"/>
        <v>0</v>
      </c>
      <c r="F161" s="48"/>
      <c r="G161" s="51">
        <f t="shared" si="38"/>
        <v>0</v>
      </c>
      <c r="H161" s="43"/>
      <c r="I161" s="44"/>
      <c r="J161" s="54"/>
      <c r="K161" s="48"/>
      <c r="L161" s="48"/>
      <c r="M161" s="48"/>
      <c r="N161" s="48"/>
      <c r="O161" s="48"/>
      <c r="P161" s="48"/>
      <c r="Q161" s="48"/>
      <c r="R161" s="48"/>
      <c r="S161" s="58">
        <f>IF(B161="",0,SUM(K161:R161)+SUMIFS('DESPESAS CASA'!$D$6:$D$305,'DESPESAS CASA'!$E$6:$E$305,A161))-P161</f>
        <v>0</v>
      </c>
      <c r="T161" s="51">
        <f t="shared" si="39"/>
        <v>0</v>
      </c>
      <c r="U161" s="51">
        <f t="shared" si="40"/>
        <v>0</v>
      </c>
      <c r="V161" s="51">
        <f t="shared" si="41"/>
        <v>0</v>
      </c>
      <c r="W161" s="52">
        <f t="shared" si="42"/>
        <v>0</v>
      </c>
      <c r="X161" s="48"/>
      <c r="Y161" s="58">
        <f t="shared" si="43"/>
        <v>0</v>
      </c>
      <c r="Z161" s="49" t="str">
        <f t="shared" si="44"/>
        <v/>
      </c>
      <c r="AA161" s="64"/>
      <c r="AB161" s="94"/>
      <c r="AE161" s="97" t="str">
        <f t="shared" si="45"/>
        <v/>
      </c>
    </row>
    <row r="162" spans="1:31" ht="15.75">
      <c r="A162" s="62" t="str">
        <f t="shared" si="36"/>
        <v/>
      </c>
      <c r="B162" s="44"/>
      <c r="C162" s="46"/>
      <c r="D162" s="46"/>
      <c r="E162" s="50">
        <f t="shared" si="37"/>
        <v>0</v>
      </c>
      <c r="F162" s="48"/>
      <c r="G162" s="51">
        <f t="shared" si="38"/>
        <v>0</v>
      </c>
      <c r="H162" s="43"/>
      <c r="I162" s="44"/>
      <c r="J162" s="54"/>
      <c r="K162" s="48"/>
      <c r="L162" s="48"/>
      <c r="M162" s="48"/>
      <c r="N162" s="48"/>
      <c r="O162" s="48"/>
      <c r="P162" s="48"/>
      <c r="Q162" s="48"/>
      <c r="R162" s="48"/>
      <c r="S162" s="58">
        <f>IF(B162="",0,SUM(K162:R162)+SUMIFS('DESPESAS CASA'!$D$6:$D$305,'DESPESAS CASA'!$E$6:$E$305,A162))-P162</f>
        <v>0</v>
      </c>
      <c r="T162" s="51">
        <f t="shared" si="39"/>
        <v>0</v>
      </c>
      <c r="U162" s="51">
        <f t="shared" si="40"/>
        <v>0</v>
      </c>
      <c r="V162" s="51">
        <f t="shared" si="41"/>
        <v>0</v>
      </c>
      <c r="W162" s="52">
        <f t="shared" si="42"/>
        <v>0</v>
      </c>
      <c r="X162" s="48"/>
      <c r="Y162" s="58">
        <f t="shared" si="43"/>
        <v>0</v>
      </c>
      <c r="Z162" s="49" t="str">
        <f t="shared" si="44"/>
        <v/>
      </c>
      <c r="AA162" s="64"/>
      <c r="AB162" s="94"/>
      <c r="AE162" s="97" t="str">
        <f t="shared" si="45"/>
        <v/>
      </c>
    </row>
    <row r="163" spans="1:31" ht="15.75">
      <c r="A163" s="62" t="str">
        <f t="shared" si="36"/>
        <v/>
      </c>
      <c r="B163" s="44"/>
      <c r="C163" s="46"/>
      <c r="D163" s="46"/>
      <c r="E163" s="50">
        <f t="shared" si="37"/>
        <v>0</v>
      </c>
      <c r="F163" s="48"/>
      <c r="G163" s="51">
        <f t="shared" si="38"/>
        <v>0</v>
      </c>
      <c r="H163" s="43"/>
      <c r="I163" s="44"/>
      <c r="J163" s="54"/>
      <c r="K163" s="48"/>
      <c r="L163" s="48"/>
      <c r="M163" s="48"/>
      <c r="N163" s="48"/>
      <c r="O163" s="48"/>
      <c r="P163" s="48"/>
      <c r="Q163" s="48"/>
      <c r="R163" s="48"/>
      <c r="S163" s="58">
        <f>IF(B163="",0,SUM(K163:R163)+SUMIFS('DESPESAS CASA'!$D$6:$D$305,'DESPESAS CASA'!$E$6:$E$305,A163))-P163</f>
        <v>0</v>
      </c>
      <c r="T163" s="51">
        <f t="shared" si="39"/>
        <v>0</v>
      </c>
      <c r="U163" s="51">
        <f t="shared" si="40"/>
        <v>0</v>
      </c>
      <c r="V163" s="51">
        <f t="shared" si="41"/>
        <v>0</v>
      </c>
      <c r="W163" s="52">
        <f t="shared" si="42"/>
        <v>0</v>
      </c>
      <c r="X163" s="48"/>
      <c r="Y163" s="58">
        <f t="shared" si="43"/>
        <v>0</v>
      </c>
      <c r="Z163" s="49" t="str">
        <f t="shared" si="44"/>
        <v/>
      </c>
      <c r="AA163" s="64"/>
      <c r="AB163" s="94"/>
      <c r="AE163" s="97" t="str">
        <f t="shared" si="45"/>
        <v/>
      </c>
    </row>
    <row r="164" spans="1:31" ht="15.75">
      <c r="A164" s="62" t="str">
        <f t="shared" ref="A164:A195" si="46">IF(B164="","","LOC-"&amp;TEXT(ROW()-5,"000"))</f>
        <v/>
      </c>
      <c r="B164" s="44"/>
      <c r="C164" s="46"/>
      <c r="D164" s="46"/>
      <c r="E164" s="50">
        <f t="shared" ref="E164:E195" si="47">IF(OR(B164="",C164="",D164=""),0,MAX(0,D164-C164))</f>
        <v>0</v>
      </c>
      <c r="F164" s="48"/>
      <c r="G164" s="51">
        <f t="shared" ref="G164:G195" si="48">IF(OR(B164="",E164=0,F164=""),0,E164*F164)</f>
        <v>0</v>
      </c>
      <c r="H164" s="43"/>
      <c r="I164" s="44"/>
      <c r="J164" s="54"/>
      <c r="K164" s="48"/>
      <c r="L164" s="48"/>
      <c r="M164" s="48"/>
      <c r="N164" s="48"/>
      <c r="O164" s="48"/>
      <c r="P164" s="48"/>
      <c r="Q164" s="48"/>
      <c r="R164" s="48"/>
      <c r="S164" s="58">
        <f>IF(B164="",0,SUM(K164:R164)+SUMIFS('DESPESAS CASA'!$D$6:$D$305,'DESPESAS CASA'!$E$6:$E$305,A164))-P164</f>
        <v>0</v>
      </c>
      <c r="T164" s="51">
        <f t="shared" ref="T164:T195" si="49">IF(OR(B164="",E164=0),0,S164/E164)</f>
        <v>0</v>
      </c>
      <c r="U164" s="51">
        <f t="shared" ref="U164:U195" si="50">IF(B164="",0,G164-S164)</f>
        <v>0</v>
      </c>
      <c r="V164" s="51">
        <f t="shared" ref="V164:V195" si="51">IF(OR(B164="",E164=0),0,U164/E164)</f>
        <v>0</v>
      </c>
      <c r="W164" s="52">
        <f t="shared" ref="W164:W195" si="52">IF(OR(B164="",G164=0),0,U164/G164)</f>
        <v>0</v>
      </c>
      <c r="X164" s="48"/>
      <c r="Y164" s="58">
        <f t="shared" si="43"/>
        <v>0</v>
      </c>
      <c r="Z164" s="49" t="str">
        <f t="shared" si="44"/>
        <v/>
      </c>
      <c r="AA164" s="64"/>
      <c r="AB164" s="94"/>
      <c r="AE164" s="97" t="str">
        <f t="shared" si="45"/>
        <v/>
      </c>
    </row>
    <row r="165" spans="1:31" ht="15.75">
      <c r="A165" s="62" t="str">
        <f t="shared" si="46"/>
        <v/>
      </c>
      <c r="B165" s="44"/>
      <c r="C165" s="46"/>
      <c r="D165" s="46"/>
      <c r="E165" s="50">
        <f t="shared" si="47"/>
        <v>0</v>
      </c>
      <c r="F165" s="48"/>
      <c r="G165" s="51">
        <f t="shared" si="48"/>
        <v>0</v>
      </c>
      <c r="H165" s="43"/>
      <c r="I165" s="44"/>
      <c r="J165" s="54"/>
      <c r="K165" s="48"/>
      <c r="L165" s="48"/>
      <c r="M165" s="48"/>
      <c r="N165" s="48"/>
      <c r="O165" s="48"/>
      <c r="P165" s="48"/>
      <c r="Q165" s="48"/>
      <c r="R165" s="48"/>
      <c r="S165" s="58">
        <f>IF(B165="",0,SUM(K165:R165)+SUMIFS('DESPESAS CASA'!$D$6:$D$305,'DESPESAS CASA'!$E$6:$E$305,A165))-P165</f>
        <v>0</v>
      </c>
      <c r="T165" s="51">
        <f t="shared" si="49"/>
        <v>0</v>
      </c>
      <c r="U165" s="51">
        <f t="shared" si="50"/>
        <v>0</v>
      </c>
      <c r="V165" s="51">
        <f t="shared" si="51"/>
        <v>0</v>
      </c>
      <c r="W165" s="52">
        <f t="shared" si="52"/>
        <v>0</v>
      </c>
      <c r="X165" s="48"/>
      <c r="Y165" s="58">
        <f t="shared" si="43"/>
        <v>0</v>
      </c>
      <c r="Z165" s="49" t="str">
        <f t="shared" si="44"/>
        <v/>
      </c>
      <c r="AA165" s="64"/>
      <c r="AB165" s="94"/>
      <c r="AE165" s="97" t="str">
        <f t="shared" si="45"/>
        <v/>
      </c>
    </row>
    <row r="166" spans="1:31" ht="15.75">
      <c r="A166" s="62" t="str">
        <f t="shared" si="46"/>
        <v/>
      </c>
      <c r="B166" s="44"/>
      <c r="C166" s="46"/>
      <c r="D166" s="46"/>
      <c r="E166" s="50">
        <f t="shared" si="47"/>
        <v>0</v>
      </c>
      <c r="F166" s="48"/>
      <c r="G166" s="51">
        <f t="shared" si="48"/>
        <v>0</v>
      </c>
      <c r="H166" s="43"/>
      <c r="I166" s="44"/>
      <c r="J166" s="54"/>
      <c r="K166" s="48"/>
      <c r="L166" s="48"/>
      <c r="M166" s="48"/>
      <c r="N166" s="48"/>
      <c r="O166" s="48"/>
      <c r="P166" s="48"/>
      <c r="Q166" s="48"/>
      <c r="R166" s="48"/>
      <c r="S166" s="58">
        <f>IF(B166="",0,SUM(K166:R166)+SUMIFS('DESPESAS CASA'!$D$6:$D$305,'DESPESAS CASA'!$E$6:$E$305,A166))-P166</f>
        <v>0</v>
      </c>
      <c r="T166" s="51">
        <f t="shared" si="49"/>
        <v>0</v>
      </c>
      <c r="U166" s="51">
        <f t="shared" si="50"/>
        <v>0</v>
      </c>
      <c r="V166" s="51">
        <f t="shared" si="51"/>
        <v>0</v>
      </c>
      <c r="W166" s="52">
        <f t="shared" si="52"/>
        <v>0</v>
      </c>
      <c r="X166" s="48"/>
      <c r="Y166" s="58">
        <f t="shared" si="43"/>
        <v>0</v>
      </c>
      <c r="Z166" s="49" t="str">
        <f t="shared" ref="Z166:Z197" si="53">IF(B166="","",IF(COUNTIFS($C$6:$C$203,"&lt;"&amp;D166,$D$6:$D$203,"&gt;"&amp;C166,$I$6:$I$203,"&lt;&gt;Cancelada",$I$6:$I$203,"&lt;&gt;Consulta",$AB$6:$AB$203,$AB166)&gt;1,"CONFLITO","OK"))</f>
        <v/>
      </c>
      <c r="AA166" s="64"/>
      <c r="AB166" s="94"/>
      <c r="AE166" s="97" t="str">
        <f t="shared" si="45"/>
        <v/>
      </c>
    </row>
    <row r="167" spans="1:31" ht="15.75">
      <c r="A167" s="62" t="str">
        <f t="shared" si="46"/>
        <v/>
      </c>
      <c r="B167" s="44"/>
      <c r="C167" s="46"/>
      <c r="D167" s="46"/>
      <c r="E167" s="50">
        <f t="shared" si="47"/>
        <v>0</v>
      </c>
      <c r="F167" s="48"/>
      <c r="G167" s="51">
        <f t="shared" si="48"/>
        <v>0</v>
      </c>
      <c r="H167" s="43"/>
      <c r="I167" s="44"/>
      <c r="J167" s="54"/>
      <c r="K167" s="48"/>
      <c r="L167" s="48"/>
      <c r="M167" s="48"/>
      <c r="N167" s="48"/>
      <c r="O167" s="48"/>
      <c r="P167" s="48"/>
      <c r="Q167" s="48"/>
      <c r="R167" s="48"/>
      <c r="S167" s="58">
        <f>IF(B167="",0,SUM(K167:R167)+SUMIFS('DESPESAS CASA'!$D$6:$D$305,'DESPESAS CASA'!$E$6:$E$305,A167))-P167</f>
        <v>0</v>
      </c>
      <c r="T167" s="51">
        <f t="shared" si="49"/>
        <v>0</v>
      </c>
      <c r="U167" s="51">
        <f t="shared" si="50"/>
        <v>0</v>
      </c>
      <c r="V167" s="51">
        <f t="shared" si="51"/>
        <v>0</v>
      </c>
      <c r="W167" s="52">
        <f t="shared" si="52"/>
        <v>0</v>
      </c>
      <c r="X167" s="48"/>
      <c r="Y167" s="58">
        <f t="shared" si="43"/>
        <v>0</v>
      </c>
      <c r="Z167" s="49" t="str">
        <f t="shared" si="53"/>
        <v/>
      </c>
      <c r="AA167" s="64"/>
      <c r="AB167" s="94"/>
      <c r="AE167" s="97" t="str">
        <f t="shared" si="45"/>
        <v/>
      </c>
    </row>
    <row r="168" spans="1:31" ht="15.75">
      <c r="A168" s="62" t="str">
        <f t="shared" si="46"/>
        <v/>
      </c>
      <c r="B168" s="44"/>
      <c r="C168" s="46"/>
      <c r="D168" s="46"/>
      <c r="E168" s="50">
        <f t="shared" si="47"/>
        <v>0</v>
      </c>
      <c r="F168" s="48"/>
      <c r="G168" s="51">
        <f t="shared" si="48"/>
        <v>0</v>
      </c>
      <c r="H168" s="43"/>
      <c r="I168" s="44"/>
      <c r="J168" s="54"/>
      <c r="K168" s="48"/>
      <c r="L168" s="48"/>
      <c r="M168" s="48"/>
      <c r="N168" s="48"/>
      <c r="O168" s="48"/>
      <c r="P168" s="48"/>
      <c r="Q168" s="48"/>
      <c r="R168" s="48"/>
      <c r="S168" s="58">
        <f>IF(B168="",0,SUM(K168:R168)+SUMIFS('DESPESAS CASA'!$D$6:$D$305,'DESPESAS CASA'!$E$6:$E$305,A168))-P168</f>
        <v>0</v>
      </c>
      <c r="T168" s="51">
        <f t="shared" si="49"/>
        <v>0</v>
      </c>
      <c r="U168" s="51">
        <f t="shared" si="50"/>
        <v>0</v>
      </c>
      <c r="V168" s="51">
        <f t="shared" si="51"/>
        <v>0</v>
      </c>
      <c r="W168" s="52">
        <f t="shared" si="52"/>
        <v>0</v>
      </c>
      <c r="X168" s="48"/>
      <c r="Y168" s="58">
        <f t="shared" si="43"/>
        <v>0</v>
      </c>
      <c r="Z168" s="49" t="str">
        <f t="shared" si="53"/>
        <v/>
      </c>
      <c r="AA168" s="64"/>
      <c r="AB168" s="94"/>
      <c r="AE168" s="97" t="str">
        <f t="shared" si="45"/>
        <v/>
      </c>
    </row>
    <row r="169" spans="1:31" ht="15.75">
      <c r="A169" s="62" t="str">
        <f t="shared" si="46"/>
        <v/>
      </c>
      <c r="B169" s="44"/>
      <c r="C169" s="46"/>
      <c r="D169" s="46"/>
      <c r="E169" s="50">
        <f t="shared" si="47"/>
        <v>0</v>
      </c>
      <c r="F169" s="48"/>
      <c r="G169" s="51">
        <f t="shared" si="48"/>
        <v>0</v>
      </c>
      <c r="H169" s="43"/>
      <c r="I169" s="44"/>
      <c r="J169" s="54"/>
      <c r="K169" s="48"/>
      <c r="L169" s="48"/>
      <c r="M169" s="48"/>
      <c r="N169" s="48"/>
      <c r="O169" s="48"/>
      <c r="P169" s="48"/>
      <c r="Q169" s="48"/>
      <c r="R169" s="48"/>
      <c r="S169" s="58">
        <f>IF(B169="",0,SUM(K169:R169)+SUMIFS('DESPESAS CASA'!$D$6:$D$305,'DESPESAS CASA'!$E$6:$E$305,A169))-P169</f>
        <v>0</v>
      </c>
      <c r="T169" s="51">
        <f t="shared" si="49"/>
        <v>0</v>
      </c>
      <c r="U169" s="51">
        <f t="shared" si="50"/>
        <v>0</v>
      </c>
      <c r="V169" s="51">
        <f t="shared" si="51"/>
        <v>0</v>
      </c>
      <c r="W169" s="52">
        <f t="shared" si="52"/>
        <v>0</v>
      </c>
      <c r="X169" s="48"/>
      <c r="Y169" s="58">
        <f t="shared" si="43"/>
        <v>0</v>
      </c>
      <c r="Z169" s="49" t="str">
        <f t="shared" si="53"/>
        <v/>
      </c>
      <c r="AA169" s="64"/>
      <c r="AB169" s="94"/>
      <c r="AE169" s="97" t="str">
        <f t="shared" si="45"/>
        <v/>
      </c>
    </row>
    <row r="170" spans="1:31" ht="15.75">
      <c r="A170" s="62" t="str">
        <f t="shared" si="46"/>
        <v/>
      </c>
      <c r="B170" s="44"/>
      <c r="C170" s="46"/>
      <c r="D170" s="46"/>
      <c r="E170" s="50">
        <f t="shared" si="47"/>
        <v>0</v>
      </c>
      <c r="F170" s="48"/>
      <c r="G170" s="51">
        <f t="shared" si="48"/>
        <v>0</v>
      </c>
      <c r="H170" s="43"/>
      <c r="I170" s="44"/>
      <c r="J170" s="54"/>
      <c r="K170" s="48"/>
      <c r="L170" s="48"/>
      <c r="M170" s="48"/>
      <c r="N170" s="48"/>
      <c r="O170" s="48"/>
      <c r="P170" s="48"/>
      <c r="Q170" s="48"/>
      <c r="R170" s="48"/>
      <c r="S170" s="58">
        <f>IF(B170="",0,SUM(K170:R170)+SUMIFS('DESPESAS CASA'!$D$6:$D$305,'DESPESAS CASA'!$E$6:$E$305,A170))-P170</f>
        <v>0</v>
      </c>
      <c r="T170" s="51">
        <f t="shared" si="49"/>
        <v>0</v>
      </c>
      <c r="U170" s="51">
        <f t="shared" si="50"/>
        <v>0</v>
      </c>
      <c r="V170" s="51">
        <f t="shared" si="51"/>
        <v>0</v>
      </c>
      <c r="W170" s="52">
        <f t="shared" si="52"/>
        <v>0</v>
      </c>
      <c r="X170" s="48"/>
      <c r="Y170" s="58">
        <f t="shared" si="43"/>
        <v>0</v>
      </c>
      <c r="Z170" s="49" t="str">
        <f t="shared" si="53"/>
        <v/>
      </c>
      <c r="AA170" s="64"/>
      <c r="AB170" s="94"/>
      <c r="AE170" s="97" t="str">
        <f t="shared" si="45"/>
        <v/>
      </c>
    </row>
    <row r="171" spans="1:31" ht="15.75">
      <c r="A171" s="62" t="str">
        <f t="shared" si="46"/>
        <v/>
      </c>
      <c r="B171" s="44"/>
      <c r="C171" s="46"/>
      <c r="D171" s="46"/>
      <c r="E171" s="50">
        <f t="shared" si="47"/>
        <v>0</v>
      </c>
      <c r="F171" s="48"/>
      <c r="G171" s="51">
        <f t="shared" si="48"/>
        <v>0</v>
      </c>
      <c r="H171" s="43"/>
      <c r="I171" s="44"/>
      <c r="J171" s="54"/>
      <c r="K171" s="48"/>
      <c r="L171" s="48"/>
      <c r="M171" s="48"/>
      <c r="N171" s="48"/>
      <c r="O171" s="48"/>
      <c r="P171" s="48"/>
      <c r="Q171" s="48"/>
      <c r="R171" s="48"/>
      <c r="S171" s="58">
        <f>IF(B171="",0,SUM(K171:R171)+SUMIFS('DESPESAS CASA'!$D$6:$D$305,'DESPESAS CASA'!$E$6:$E$305,A171))-P171</f>
        <v>0</v>
      </c>
      <c r="T171" s="51">
        <f t="shared" si="49"/>
        <v>0</v>
      </c>
      <c r="U171" s="51">
        <f t="shared" si="50"/>
        <v>0</v>
      </c>
      <c r="V171" s="51">
        <f t="shared" si="51"/>
        <v>0</v>
      </c>
      <c r="W171" s="52">
        <f t="shared" si="52"/>
        <v>0</v>
      </c>
      <c r="X171" s="48"/>
      <c r="Y171" s="58">
        <f t="shared" si="43"/>
        <v>0</v>
      </c>
      <c r="Z171" s="49" t="str">
        <f t="shared" si="53"/>
        <v/>
      </c>
      <c r="AA171" s="64"/>
      <c r="AB171" s="94"/>
      <c r="AE171" s="97" t="str">
        <f t="shared" si="45"/>
        <v/>
      </c>
    </row>
    <row r="172" spans="1:31" ht="15.75">
      <c r="A172" s="62" t="str">
        <f t="shared" si="46"/>
        <v/>
      </c>
      <c r="B172" s="44"/>
      <c r="C172" s="46"/>
      <c r="D172" s="46"/>
      <c r="E172" s="50">
        <f t="shared" si="47"/>
        <v>0</v>
      </c>
      <c r="F172" s="48"/>
      <c r="G172" s="51">
        <f t="shared" si="48"/>
        <v>0</v>
      </c>
      <c r="H172" s="43"/>
      <c r="I172" s="44"/>
      <c r="J172" s="54"/>
      <c r="K172" s="48"/>
      <c r="L172" s="48"/>
      <c r="M172" s="48"/>
      <c r="N172" s="48"/>
      <c r="O172" s="48"/>
      <c r="P172" s="48"/>
      <c r="Q172" s="48"/>
      <c r="R172" s="48"/>
      <c r="S172" s="58">
        <f>IF(B172="",0,SUM(K172:R172)+SUMIFS('DESPESAS CASA'!$D$6:$D$305,'DESPESAS CASA'!$E$6:$E$305,A172))-P172</f>
        <v>0</v>
      </c>
      <c r="T172" s="51">
        <f t="shared" si="49"/>
        <v>0</v>
      </c>
      <c r="U172" s="51">
        <f t="shared" si="50"/>
        <v>0</v>
      </c>
      <c r="V172" s="51">
        <f t="shared" si="51"/>
        <v>0</v>
      </c>
      <c r="W172" s="52">
        <f t="shared" si="52"/>
        <v>0</v>
      </c>
      <c r="X172" s="48"/>
      <c r="Y172" s="58">
        <f t="shared" si="43"/>
        <v>0</v>
      </c>
      <c r="Z172" s="49" t="str">
        <f t="shared" si="53"/>
        <v/>
      </c>
      <c r="AA172" s="64"/>
      <c r="AB172" s="94"/>
      <c r="AE172" s="97" t="str">
        <f t="shared" si="45"/>
        <v/>
      </c>
    </row>
    <row r="173" spans="1:31" ht="15.75">
      <c r="A173" s="62" t="str">
        <f t="shared" si="46"/>
        <v/>
      </c>
      <c r="B173" s="44"/>
      <c r="C173" s="46"/>
      <c r="D173" s="46"/>
      <c r="E173" s="50">
        <f t="shared" si="47"/>
        <v>0</v>
      </c>
      <c r="F173" s="48"/>
      <c r="G173" s="51">
        <f t="shared" si="48"/>
        <v>0</v>
      </c>
      <c r="H173" s="43"/>
      <c r="I173" s="44"/>
      <c r="J173" s="54"/>
      <c r="K173" s="48"/>
      <c r="L173" s="48"/>
      <c r="M173" s="48"/>
      <c r="N173" s="48"/>
      <c r="O173" s="48"/>
      <c r="P173" s="48"/>
      <c r="Q173" s="48"/>
      <c r="R173" s="48"/>
      <c r="S173" s="58">
        <f>IF(B173="",0,SUM(K173:R173)+SUMIFS('DESPESAS CASA'!$D$6:$D$305,'DESPESAS CASA'!$E$6:$E$305,A173))-P173</f>
        <v>0</v>
      </c>
      <c r="T173" s="51">
        <f t="shared" si="49"/>
        <v>0</v>
      </c>
      <c r="U173" s="51">
        <f t="shared" si="50"/>
        <v>0</v>
      </c>
      <c r="V173" s="51">
        <f t="shared" si="51"/>
        <v>0</v>
      </c>
      <c r="W173" s="52">
        <f t="shared" si="52"/>
        <v>0</v>
      </c>
      <c r="X173" s="48"/>
      <c r="Y173" s="58">
        <f t="shared" si="43"/>
        <v>0</v>
      </c>
      <c r="Z173" s="49" t="str">
        <f t="shared" si="53"/>
        <v/>
      </c>
      <c r="AA173" s="64"/>
      <c r="AB173" s="94"/>
      <c r="AE173" s="97" t="str">
        <f t="shared" si="45"/>
        <v/>
      </c>
    </row>
    <row r="174" spans="1:31" ht="15.75">
      <c r="A174" s="62" t="str">
        <f t="shared" si="46"/>
        <v/>
      </c>
      <c r="B174" s="44"/>
      <c r="C174" s="46"/>
      <c r="D174" s="46"/>
      <c r="E174" s="50">
        <f t="shared" si="47"/>
        <v>0</v>
      </c>
      <c r="F174" s="48"/>
      <c r="G174" s="51">
        <f t="shared" si="48"/>
        <v>0</v>
      </c>
      <c r="H174" s="43"/>
      <c r="I174" s="44"/>
      <c r="J174" s="54"/>
      <c r="K174" s="48"/>
      <c r="L174" s="48"/>
      <c r="M174" s="48"/>
      <c r="N174" s="48"/>
      <c r="O174" s="48"/>
      <c r="P174" s="48"/>
      <c r="Q174" s="48"/>
      <c r="R174" s="48"/>
      <c r="S174" s="58">
        <f>IF(B174="",0,SUM(K174:R174)+SUMIFS('DESPESAS CASA'!$D$6:$D$305,'DESPESAS CASA'!$E$6:$E$305,A174))-P174</f>
        <v>0</v>
      </c>
      <c r="T174" s="51">
        <f t="shared" si="49"/>
        <v>0</v>
      </c>
      <c r="U174" s="51">
        <f t="shared" si="50"/>
        <v>0</v>
      </c>
      <c r="V174" s="51">
        <f t="shared" si="51"/>
        <v>0</v>
      </c>
      <c r="W174" s="52">
        <f t="shared" si="52"/>
        <v>0</v>
      </c>
      <c r="X174" s="48"/>
      <c r="Y174" s="58">
        <f t="shared" si="43"/>
        <v>0</v>
      </c>
      <c r="Z174" s="49" t="str">
        <f t="shared" si="53"/>
        <v/>
      </c>
      <c r="AA174" s="64"/>
      <c r="AB174" s="94"/>
      <c r="AE174" s="97" t="str">
        <f t="shared" si="45"/>
        <v/>
      </c>
    </row>
    <row r="175" spans="1:31" ht="15.75">
      <c r="A175" s="62" t="str">
        <f t="shared" si="46"/>
        <v/>
      </c>
      <c r="B175" s="44"/>
      <c r="C175" s="46"/>
      <c r="D175" s="46"/>
      <c r="E175" s="50">
        <f t="shared" si="47"/>
        <v>0</v>
      </c>
      <c r="F175" s="48"/>
      <c r="G175" s="51">
        <f t="shared" si="48"/>
        <v>0</v>
      </c>
      <c r="H175" s="43"/>
      <c r="I175" s="44"/>
      <c r="J175" s="54"/>
      <c r="K175" s="48"/>
      <c r="L175" s="48"/>
      <c r="M175" s="48"/>
      <c r="N175" s="48"/>
      <c r="O175" s="48"/>
      <c r="P175" s="48"/>
      <c r="Q175" s="48"/>
      <c r="R175" s="48"/>
      <c r="S175" s="58">
        <f>IF(B175="",0,SUM(K175:R175)+SUMIFS('DESPESAS CASA'!$D$6:$D$305,'DESPESAS CASA'!$E$6:$E$305,A175))-P175</f>
        <v>0</v>
      </c>
      <c r="T175" s="51">
        <f t="shared" si="49"/>
        <v>0</v>
      </c>
      <c r="U175" s="51">
        <f t="shared" si="50"/>
        <v>0</v>
      </c>
      <c r="V175" s="51">
        <f t="shared" si="51"/>
        <v>0</v>
      </c>
      <c r="W175" s="52">
        <f t="shared" si="52"/>
        <v>0</v>
      </c>
      <c r="X175" s="48"/>
      <c r="Y175" s="58">
        <f t="shared" si="43"/>
        <v>0</v>
      </c>
      <c r="Z175" s="49" t="str">
        <f t="shared" si="53"/>
        <v/>
      </c>
      <c r="AA175" s="64"/>
      <c r="AB175" s="94"/>
      <c r="AE175" s="97" t="str">
        <f t="shared" si="45"/>
        <v/>
      </c>
    </row>
    <row r="176" spans="1:31" ht="15.75">
      <c r="A176" s="62" t="str">
        <f t="shared" si="46"/>
        <v/>
      </c>
      <c r="B176" s="44"/>
      <c r="C176" s="46"/>
      <c r="D176" s="46"/>
      <c r="E176" s="50">
        <f t="shared" si="47"/>
        <v>0</v>
      </c>
      <c r="F176" s="48"/>
      <c r="G176" s="51">
        <f t="shared" si="48"/>
        <v>0</v>
      </c>
      <c r="H176" s="43"/>
      <c r="I176" s="44"/>
      <c r="J176" s="54"/>
      <c r="K176" s="48"/>
      <c r="L176" s="48"/>
      <c r="M176" s="48"/>
      <c r="N176" s="48"/>
      <c r="O176" s="48"/>
      <c r="P176" s="48"/>
      <c r="Q176" s="48"/>
      <c r="R176" s="48"/>
      <c r="S176" s="58">
        <f>IF(B176="",0,SUM(K176:R176)+SUMIFS('DESPESAS CASA'!$D$6:$D$305,'DESPESAS CASA'!$E$6:$E$305,A176))-P176</f>
        <v>0</v>
      </c>
      <c r="T176" s="51">
        <f t="shared" si="49"/>
        <v>0</v>
      </c>
      <c r="U176" s="51">
        <f t="shared" si="50"/>
        <v>0</v>
      </c>
      <c r="V176" s="51">
        <f t="shared" si="51"/>
        <v>0</v>
      </c>
      <c r="W176" s="52">
        <f t="shared" si="52"/>
        <v>0</v>
      </c>
      <c r="X176" s="48"/>
      <c r="Y176" s="58">
        <f t="shared" si="43"/>
        <v>0</v>
      </c>
      <c r="Z176" s="49" t="str">
        <f t="shared" si="53"/>
        <v/>
      </c>
      <c r="AA176" s="64"/>
      <c r="AB176" s="94"/>
      <c r="AE176" s="97" t="str">
        <f t="shared" si="45"/>
        <v/>
      </c>
    </row>
    <row r="177" spans="1:31" ht="15.75">
      <c r="A177" s="62" t="str">
        <f t="shared" si="46"/>
        <v/>
      </c>
      <c r="B177" s="44"/>
      <c r="C177" s="46"/>
      <c r="D177" s="46"/>
      <c r="E177" s="50">
        <f t="shared" si="47"/>
        <v>0</v>
      </c>
      <c r="F177" s="48"/>
      <c r="G177" s="51">
        <f t="shared" si="48"/>
        <v>0</v>
      </c>
      <c r="H177" s="43"/>
      <c r="I177" s="44"/>
      <c r="J177" s="54"/>
      <c r="K177" s="48"/>
      <c r="L177" s="48"/>
      <c r="M177" s="48"/>
      <c r="N177" s="48"/>
      <c r="O177" s="48"/>
      <c r="P177" s="48"/>
      <c r="Q177" s="48"/>
      <c r="R177" s="48"/>
      <c r="S177" s="58">
        <f>IF(B177="",0,SUM(K177:R177)+SUMIFS('DESPESAS CASA'!$D$6:$D$305,'DESPESAS CASA'!$E$6:$E$305,A177))-P177</f>
        <v>0</v>
      </c>
      <c r="T177" s="51">
        <f t="shared" si="49"/>
        <v>0</v>
      </c>
      <c r="U177" s="51">
        <f t="shared" si="50"/>
        <v>0</v>
      </c>
      <c r="V177" s="51">
        <f t="shared" si="51"/>
        <v>0</v>
      </c>
      <c r="W177" s="52">
        <f t="shared" si="52"/>
        <v>0</v>
      </c>
      <c r="X177" s="48"/>
      <c r="Y177" s="58">
        <f t="shared" si="43"/>
        <v>0</v>
      </c>
      <c r="Z177" s="49" t="str">
        <f t="shared" si="53"/>
        <v/>
      </c>
      <c r="AA177" s="64"/>
      <c r="AB177" s="94"/>
      <c r="AE177" s="97" t="str">
        <f t="shared" si="45"/>
        <v/>
      </c>
    </row>
    <row r="178" spans="1:31" ht="15.75">
      <c r="A178" s="62" t="str">
        <f t="shared" si="46"/>
        <v/>
      </c>
      <c r="B178" s="44"/>
      <c r="C178" s="46"/>
      <c r="D178" s="46"/>
      <c r="E178" s="50">
        <f t="shared" si="47"/>
        <v>0</v>
      </c>
      <c r="F178" s="48"/>
      <c r="G178" s="51">
        <f t="shared" si="48"/>
        <v>0</v>
      </c>
      <c r="H178" s="43"/>
      <c r="I178" s="44"/>
      <c r="J178" s="54"/>
      <c r="K178" s="48"/>
      <c r="L178" s="48"/>
      <c r="M178" s="48"/>
      <c r="N178" s="48"/>
      <c r="O178" s="48"/>
      <c r="P178" s="48"/>
      <c r="Q178" s="48"/>
      <c r="R178" s="48"/>
      <c r="S178" s="58">
        <f>IF(B178="",0,SUM(K178:R178)+SUMIFS('DESPESAS CASA'!$D$6:$D$305,'DESPESAS CASA'!$E$6:$E$305,A178))-P178</f>
        <v>0</v>
      </c>
      <c r="T178" s="51">
        <f t="shared" si="49"/>
        <v>0</v>
      </c>
      <c r="U178" s="51">
        <f t="shared" si="50"/>
        <v>0</v>
      </c>
      <c r="V178" s="51">
        <f t="shared" si="51"/>
        <v>0</v>
      </c>
      <c r="W178" s="52">
        <f t="shared" si="52"/>
        <v>0</v>
      </c>
      <c r="X178" s="48"/>
      <c r="Y178" s="58">
        <f t="shared" si="43"/>
        <v>0</v>
      </c>
      <c r="Z178" s="49" t="str">
        <f t="shared" si="53"/>
        <v/>
      </c>
      <c r="AA178" s="64"/>
      <c r="AB178" s="94"/>
      <c r="AE178" s="97" t="str">
        <f t="shared" si="45"/>
        <v/>
      </c>
    </row>
    <row r="179" spans="1:31" ht="15.75">
      <c r="A179" s="62" t="str">
        <f t="shared" si="46"/>
        <v/>
      </c>
      <c r="B179" s="44"/>
      <c r="C179" s="46"/>
      <c r="D179" s="46"/>
      <c r="E179" s="50">
        <f t="shared" si="47"/>
        <v>0</v>
      </c>
      <c r="F179" s="48"/>
      <c r="G179" s="51">
        <f t="shared" si="48"/>
        <v>0</v>
      </c>
      <c r="H179" s="43"/>
      <c r="I179" s="44"/>
      <c r="J179" s="54"/>
      <c r="K179" s="48"/>
      <c r="L179" s="48"/>
      <c r="M179" s="48"/>
      <c r="N179" s="48"/>
      <c r="O179" s="48"/>
      <c r="P179" s="48"/>
      <c r="Q179" s="48"/>
      <c r="R179" s="48"/>
      <c r="S179" s="58">
        <f>IF(B179="",0,SUM(K179:R179)+SUMIFS('DESPESAS CASA'!$D$6:$D$305,'DESPESAS CASA'!$E$6:$E$305,A179))-P179</f>
        <v>0</v>
      </c>
      <c r="T179" s="51">
        <f t="shared" si="49"/>
        <v>0</v>
      </c>
      <c r="U179" s="51">
        <f t="shared" si="50"/>
        <v>0</v>
      </c>
      <c r="V179" s="51">
        <f t="shared" si="51"/>
        <v>0</v>
      </c>
      <c r="W179" s="52">
        <f t="shared" si="52"/>
        <v>0</v>
      </c>
      <c r="X179" s="48"/>
      <c r="Y179" s="58">
        <f t="shared" si="43"/>
        <v>0</v>
      </c>
      <c r="Z179" s="49" t="str">
        <f t="shared" si="53"/>
        <v/>
      </c>
      <c r="AA179" s="64"/>
      <c r="AB179" s="94"/>
      <c r="AE179" s="97" t="str">
        <f t="shared" si="45"/>
        <v/>
      </c>
    </row>
    <row r="180" spans="1:31" ht="15.75">
      <c r="A180" s="62" t="str">
        <f t="shared" si="46"/>
        <v/>
      </c>
      <c r="B180" s="44"/>
      <c r="C180" s="46"/>
      <c r="D180" s="46"/>
      <c r="E180" s="50">
        <f t="shared" si="47"/>
        <v>0</v>
      </c>
      <c r="F180" s="48"/>
      <c r="G180" s="51">
        <f t="shared" si="48"/>
        <v>0</v>
      </c>
      <c r="H180" s="43"/>
      <c r="I180" s="44"/>
      <c r="J180" s="54"/>
      <c r="K180" s="48"/>
      <c r="L180" s="48"/>
      <c r="M180" s="48"/>
      <c r="N180" s="48"/>
      <c r="O180" s="48"/>
      <c r="P180" s="48"/>
      <c r="Q180" s="48"/>
      <c r="R180" s="48"/>
      <c r="S180" s="58">
        <f>IF(B180="",0,SUM(K180:R180)+SUMIFS('DESPESAS CASA'!$D$6:$D$305,'DESPESAS CASA'!$E$6:$E$305,A180))-P180</f>
        <v>0</v>
      </c>
      <c r="T180" s="51">
        <f t="shared" si="49"/>
        <v>0</v>
      </c>
      <c r="U180" s="51">
        <f t="shared" si="50"/>
        <v>0</v>
      </c>
      <c r="V180" s="51">
        <f t="shared" si="51"/>
        <v>0</v>
      </c>
      <c r="W180" s="52">
        <f t="shared" si="52"/>
        <v>0</v>
      </c>
      <c r="X180" s="48"/>
      <c r="Y180" s="58">
        <f t="shared" si="43"/>
        <v>0</v>
      </c>
      <c r="Z180" s="49" t="str">
        <f t="shared" si="53"/>
        <v/>
      </c>
      <c r="AA180" s="64"/>
      <c r="AB180" s="94"/>
      <c r="AE180" s="97" t="str">
        <f t="shared" si="45"/>
        <v/>
      </c>
    </row>
    <row r="181" spans="1:31" ht="15.75">
      <c r="A181" s="62" t="str">
        <f t="shared" si="46"/>
        <v/>
      </c>
      <c r="B181" s="44"/>
      <c r="C181" s="46"/>
      <c r="D181" s="46"/>
      <c r="E181" s="50">
        <f t="shared" si="47"/>
        <v>0</v>
      </c>
      <c r="F181" s="48"/>
      <c r="G181" s="51">
        <f t="shared" si="48"/>
        <v>0</v>
      </c>
      <c r="H181" s="43"/>
      <c r="I181" s="44"/>
      <c r="J181" s="54"/>
      <c r="K181" s="48"/>
      <c r="L181" s="48"/>
      <c r="M181" s="48"/>
      <c r="N181" s="48"/>
      <c r="O181" s="48"/>
      <c r="P181" s="48"/>
      <c r="Q181" s="48"/>
      <c r="R181" s="48"/>
      <c r="S181" s="58">
        <f>IF(B181="",0,SUM(K181:R181)+SUMIFS('DESPESAS CASA'!$D$6:$D$305,'DESPESAS CASA'!$E$6:$E$305,A181))-P181</f>
        <v>0</v>
      </c>
      <c r="T181" s="51">
        <f t="shared" si="49"/>
        <v>0</v>
      </c>
      <c r="U181" s="51">
        <f t="shared" si="50"/>
        <v>0</v>
      </c>
      <c r="V181" s="51">
        <f t="shared" si="51"/>
        <v>0</v>
      </c>
      <c r="W181" s="52">
        <f t="shared" si="52"/>
        <v>0</v>
      </c>
      <c r="X181" s="48"/>
      <c r="Y181" s="58">
        <f t="shared" si="43"/>
        <v>0</v>
      </c>
      <c r="Z181" s="49" t="str">
        <f t="shared" si="53"/>
        <v/>
      </c>
      <c r="AA181" s="64"/>
      <c r="AB181" s="94"/>
      <c r="AE181" s="97" t="str">
        <f t="shared" si="45"/>
        <v/>
      </c>
    </row>
    <row r="182" spans="1:31" ht="15.75">
      <c r="A182" s="62" t="str">
        <f t="shared" si="46"/>
        <v/>
      </c>
      <c r="B182" s="44"/>
      <c r="C182" s="46"/>
      <c r="D182" s="46"/>
      <c r="E182" s="50">
        <f t="shared" si="47"/>
        <v>0</v>
      </c>
      <c r="F182" s="48"/>
      <c r="G182" s="51">
        <f t="shared" si="48"/>
        <v>0</v>
      </c>
      <c r="H182" s="43"/>
      <c r="I182" s="44"/>
      <c r="J182" s="54"/>
      <c r="K182" s="48"/>
      <c r="L182" s="48"/>
      <c r="M182" s="48"/>
      <c r="N182" s="48"/>
      <c r="O182" s="48"/>
      <c r="P182" s="48"/>
      <c r="Q182" s="48"/>
      <c r="R182" s="48"/>
      <c r="S182" s="58">
        <f>IF(B182="",0,SUM(K182:R182)+SUMIFS('DESPESAS CASA'!$D$6:$D$305,'DESPESAS CASA'!$E$6:$E$305,A182))-P182</f>
        <v>0</v>
      </c>
      <c r="T182" s="51">
        <f t="shared" si="49"/>
        <v>0</v>
      </c>
      <c r="U182" s="51">
        <f t="shared" si="50"/>
        <v>0</v>
      </c>
      <c r="V182" s="51">
        <f t="shared" si="51"/>
        <v>0</v>
      </c>
      <c r="W182" s="52">
        <f t="shared" si="52"/>
        <v>0</v>
      </c>
      <c r="X182" s="48"/>
      <c r="Y182" s="58">
        <f t="shared" si="43"/>
        <v>0</v>
      </c>
      <c r="Z182" s="49" t="str">
        <f t="shared" si="53"/>
        <v/>
      </c>
      <c r="AA182" s="64"/>
      <c r="AB182" s="94"/>
      <c r="AE182" s="97" t="str">
        <f t="shared" si="45"/>
        <v/>
      </c>
    </row>
    <row r="183" spans="1:31" ht="15.75">
      <c r="A183" s="62" t="str">
        <f t="shared" si="46"/>
        <v/>
      </c>
      <c r="B183" s="44"/>
      <c r="C183" s="46"/>
      <c r="D183" s="46"/>
      <c r="E183" s="50">
        <f t="shared" si="47"/>
        <v>0</v>
      </c>
      <c r="F183" s="48"/>
      <c r="G183" s="51">
        <f t="shared" si="48"/>
        <v>0</v>
      </c>
      <c r="H183" s="43"/>
      <c r="I183" s="44"/>
      <c r="J183" s="54"/>
      <c r="K183" s="48"/>
      <c r="L183" s="48"/>
      <c r="M183" s="48"/>
      <c r="N183" s="48"/>
      <c r="O183" s="48"/>
      <c r="P183" s="48"/>
      <c r="Q183" s="48"/>
      <c r="R183" s="48"/>
      <c r="S183" s="58">
        <f>IF(B183="",0,SUM(K183:R183)+SUMIFS('DESPESAS CASA'!$D$6:$D$305,'DESPESAS CASA'!$E$6:$E$305,A183))-P183</f>
        <v>0</v>
      </c>
      <c r="T183" s="51">
        <f t="shared" si="49"/>
        <v>0</v>
      </c>
      <c r="U183" s="51">
        <f t="shared" si="50"/>
        <v>0</v>
      </c>
      <c r="V183" s="51">
        <f t="shared" si="51"/>
        <v>0</v>
      </c>
      <c r="W183" s="52">
        <f t="shared" si="52"/>
        <v>0</v>
      </c>
      <c r="X183" s="48"/>
      <c r="Y183" s="58">
        <f t="shared" si="43"/>
        <v>0</v>
      </c>
      <c r="Z183" s="49" t="str">
        <f t="shared" si="53"/>
        <v/>
      </c>
      <c r="AA183" s="64"/>
      <c r="AB183" s="94"/>
      <c r="AE183" s="97" t="str">
        <f t="shared" si="45"/>
        <v/>
      </c>
    </row>
    <row r="184" spans="1:31" ht="15.75">
      <c r="A184" s="62" t="str">
        <f t="shared" si="46"/>
        <v/>
      </c>
      <c r="B184" s="44"/>
      <c r="C184" s="46"/>
      <c r="D184" s="46"/>
      <c r="E184" s="50">
        <f t="shared" si="47"/>
        <v>0</v>
      </c>
      <c r="F184" s="48"/>
      <c r="G184" s="51">
        <f t="shared" si="48"/>
        <v>0</v>
      </c>
      <c r="H184" s="43"/>
      <c r="I184" s="44"/>
      <c r="J184" s="54"/>
      <c r="K184" s="48"/>
      <c r="L184" s="48"/>
      <c r="M184" s="48"/>
      <c r="N184" s="48"/>
      <c r="O184" s="48"/>
      <c r="P184" s="48"/>
      <c r="Q184" s="48"/>
      <c r="R184" s="48"/>
      <c r="S184" s="58">
        <f>IF(B184="",0,SUM(K184:R184)+SUMIFS('DESPESAS CASA'!$D$6:$D$305,'DESPESAS CASA'!$E$6:$E$305,A184))-P184</f>
        <v>0</v>
      </c>
      <c r="T184" s="51">
        <f t="shared" si="49"/>
        <v>0</v>
      </c>
      <c r="U184" s="51">
        <f t="shared" si="50"/>
        <v>0</v>
      </c>
      <c r="V184" s="51">
        <f t="shared" si="51"/>
        <v>0</v>
      </c>
      <c r="W184" s="52">
        <f t="shared" si="52"/>
        <v>0</v>
      </c>
      <c r="X184" s="48"/>
      <c r="Y184" s="58">
        <f t="shared" si="43"/>
        <v>0</v>
      </c>
      <c r="Z184" s="49" t="str">
        <f t="shared" si="53"/>
        <v/>
      </c>
      <c r="AA184" s="64"/>
      <c r="AB184" s="94"/>
      <c r="AE184" s="97" t="str">
        <f t="shared" si="45"/>
        <v/>
      </c>
    </row>
    <row r="185" spans="1:31" ht="15.75">
      <c r="A185" s="62" t="str">
        <f t="shared" si="46"/>
        <v/>
      </c>
      <c r="B185" s="44"/>
      <c r="C185" s="46"/>
      <c r="D185" s="46"/>
      <c r="E185" s="50">
        <f t="shared" si="47"/>
        <v>0</v>
      </c>
      <c r="F185" s="48"/>
      <c r="G185" s="51">
        <f t="shared" si="48"/>
        <v>0</v>
      </c>
      <c r="H185" s="43"/>
      <c r="I185" s="44"/>
      <c r="J185" s="54"/>
      <c r="K185" s="48"/>
      <c r="L185" s="48"/>
      <c r="M185" s="48"/>
      <c r="N185" s="48"/>
      <c r="O185" s="48"/>
      <c r="P185" s="48"/>
      <c r="Q185" s="48"/>
      <c r="R185" s="48"/>
      <c r="S185" s="58">
        <f>IF(B185="",0,SUM(K185:R185)+SUMIFS('DESPESAS CASA'!$D$6:$D$305,'DESPESAS CASA'!$E$6:$E$305,A185))-P185</f>
        <v>0</v>
      </c>
      <c r="T185" s="51">
        <f t="shared" si="49"/>
        <v>0</v>
      </c>
      <c r="U185" s="51">
        <f t="shared" si="50"/>
        <v>0</v>
      </c>
      <c r="V185" s="51">
        <f t="shared" si="51"/>
        <v>0</v>
      </c>
      <c r="W185" s="52">
        <f t="shared" si="52"/>
        <v>0</v>
      </c>
      <c r="X185" s="48"/>
      <c r="Y185" s="58">
        <f t="shared" si="43"/>
        <v>0</v>
      </c>
      <c r="Z185" s="49" t="str">
        <f t="shared" si="53"/>
        <v/>
      </c>
      <c r="AA185" s="64"/>
      <c r="AB185" s="94"/>
      <c r="AE185" s="97" t="str">
        <f t="shared" si="45"/>
        <v/>
      </c>
    </row>
    <row r="186" spans="1:31" ht="15.75">
      <c r="A186" s="62" t="str">
        <f t="shared" si="46"/>
        <v/>
      </c>
      <c r="B186" s="44"/>
      <c r="C186" s="46"/>
      <c r="D186" s="46"/>
      <c r="E186" s="50">
        <f t="shared" si="47"/>
        <v>0</v>
      </c>
      <c r="F186" s="48"/>
      <c r="G186" s="51">
        <f t="shared" si="48"/>
        <v>0</v>
      </c>
      <c r="H186" s="43"/>
      <c r="I186" s="44"/>
      <c r="J186" s="54"/>
      <c r="K186" s="48"/>
      <c r="L186" s="48"/>
      <c r="M186" s="48"/>
      <c r="N186" s="48"/>
      <c r="O186" s="48"/>
      <c r="P186" s="48"/>
      <c r="Q186" s="48"/>
      <c r="R186" s="48"/>
      <c r="S186" s="58">
        <f>IF(B186="",0,SUM(K186:R186)+SUMIFS('DESPESAS CASA'!$D$6:$D$305,'DESPESAS CASA'!$E$6:$E$305,A186))-P186</f>
        <v>0</v>
      </c>
      <c r="T186" s="51">
        <f t="shared" si="49"/>
        <v>0</v>
      </c>
      <c r="U186" s="51">
        <f t="shared" si="50"/>
        <v>0</v>
      </c>
      <c r="V186" s="51">
        <f t="shared" si="51"/>
        <v>0</v>
      </c>
      <c r="W186" s="52">
        <f t="shared" si="52"/>
        <v>0</v>
      </c>
      <c r="X186" s="48"/>
      <c r="Y186" s="58">
        <f t="shared" si="43"/>
        <v>0</v>
      </c>
      <c r="Z186" s="49" t="str">
        <f t="shared" si="53"/>
        <v/>
      </c>
      <c r="AA186" s="64"/>
      <c r="AB186" s="94"/>
      <c r="AE186" s="97" t="str">
        <f t="shared" si="45"/>
        <v/>
      </c>
    </row>
    <row r="187" spans="1:31" ht="15.75">
      <c r="A187" s="62" t="str">
        <f t="shared" si="46"/>
        <v/>
      </c>
      <c r="B187" s="44"/>
      <c r="C187" s="46"/>
      <c r="D187" s="46"/>
      <c r="E187" s="50">
        <f t="shared" si="47"/>
        <v>0</v>
      </c>
      <c r="F187" s="48"/>
      <c r="G187" s="51">
        <f t="shared" si="48"/>
        <v>0</v>
      </c>
      <c r="H187" s="43"/>
      <c r="I187" s="44"/>
      <c r="J187" s="54"/>
      <c r="K187" s="48"/>
      <c r="L187" s="48"/>
      <c r="M187" s="48"/>
      <c r="N187" s="48"/>
      <c r="O187" s="48"/>
      <c r="P187" s="48"/>
      <c r="Q187" s="48"/>
      <c r="R187" s="48"/>
      <c r="S187" s="58">
        <f>IF(B187="",0,SUM(K187:R187)+SUMIFS('DESPESAS CASA'!$D$6:$D$305,'DESPESAS CASA'!$E$6:$E$305,A187))-P187</f>
        <v>0</v>
      </c>
      <c r="T187" s="51">
        <f t="shared" si="49"/>
        <v>0</v>
      </c>
      <c r="U187" s="51">
        <f t="shared" si="50"/>
        <v>0</v>
      </c>
      <c r="V187" s="51">
        <f t="shared" si="51"/>
        <v>0</v>
      </c>
      <c r="W187" s="52">
        <f t="shared" si="52"/>
        <v>0</v>
      </c>
      <c r="X187" s="48"/>
      <c r="Y187" s="58">
        <f t="shared" si="43"/>
        <v>0</v>
      </c>
      <c r="Z187" s="49" t="str">
        <f t="shared" si="53"/>
        <v/>
      </c>
      <c r="AA187" s="64"/>
      <c r="AB187" s="94"/>
      <c r="AE187" s="97" t="str">
        <f t="shared" si="45"/>
        <v/>
      </c>
    </row>
    <row r="188" spans="1:31" ht="15.75">
      <c r="A188" s="62" t="str">
        <f t="shared" si="46"/>
        <v/>
      </c>
      <c r="B188" s="44"/>
      <c r="C188" s="46"/>
      <c r="D188" s="46"/>
      <c r="E188" s="50">
        <f t="shared" si="47"/>
        <v>0</v>
      </c>
      <c r="F188" s="48"/>
      <c r="G188" s="51">
        <f t="shared" si="48"/>
        <v>0</v>
      </c>
      <c r="H188" s="43"/>
      <c r="I188" s="44"/>
      <c r="J188" s="54"/>
      <c r="K188" s="48"/>
      <c r="L188" s="48"/>
      <c r="M188" s="48"/>
      <c r="N188" s="48"/>
      <c r="O188" s="48"/>
      <c r="P188" s="48"/>
      <c r="Q188" s="48"/>
      <c r="R188" s="48"/>
      <c r="S188" s="58">
        <f>IF(B188="",0,SUM(K188:R188)+SUMIFS('DESPESAS CASA'!$D$6:$D$305,'DESPESAS CASA'!$E$6:$E$305,A188))-P188</f>
        <v>0</v>
      </c>
      <c r="T188" s="51">
        <f t="shared" si="49"/>
        <v>0</v>
      </c>
      <c r="U188" s="51">
        <f t="shared" si="50"/>
        <v>0</v>
      </c>
      <c r="V188" s="51">
        <f t="shared" si="51"/>
        <v>0</v>
      </c>
      <c r="W188" s="52">
        <f t="shared" si="52"/>
        <v>0</v>
      </c>
      <c r="X188" s="48"/>
      <c r="Y188" s="58">
        <f t="shared" si="43"/>
        <v>0</v>
      </c>
      <c r="Z188" s="49" t="str">
        <f t="shared" si="53"/>
        <v/>
      </c>
      <c r="AA188" s="64"/>
      <c r="AB188" s="94"/>
      <c r="AE188" s="97" t="str">
        <f t="shared" si="45"/>
        <v/>
      </c>
    </row>
    <row r="189" spans="1:31" ht="15.75">
      <c r="A189" s="62" t="str">
        <f t="shared" si="46"/>
        <v/>
      </c>
      <c r="B189" s="44"/>
      <c r="C189" s="46"/>
      <c r="D189" s="46"/>
      <c r="E189" s="50">
        <f t="shared" si="47"/>
        <v>0</v>
      </c>
      <c r="F189" s="48"/>
      <c r="G189" s="51">
        <f t="shared" si="48"/>
        <v>0</v>
      </c>
      <c r="H189" s="43"/>
      <c r="I189" s="44"/>
      <c r="J189" s="54"/>
      <c r="K189" s="48"/>
      <c r="L189" s="48"/>
      <c r="M189" s="48"/>
      <c r="N189" s="48"/>
      <c r="O189" s="48"/>
      <c r="P189" s="48"/>
      <c r="Q189" s="48"/>
      <c r="R189" s="48"/>
      <c r="S189" s="58">
        <f>IF(B189="",0,SUM(K189:R189)+SUMIFS('DESPESAS CASA'!$D$6:$D$305,'DESPESAS CASA'!$E$6:$E$305,A189))-P189</f>
        <v>0</v>
      </c>
      <c r="T189" s="51">
        <f t="shared" si="49"/>
        <v>0</v>
      </c>
      <c r="U189" s="51">
        <f t="shared" si="50"/>
        <v>0</v>
      </c>
      <c r="V189" s="51">
        <f t="shared" si="51"/>
        <v>0</v>
      </c>
      <c r="W189" s="52">
        <f t="shared" si="52"/>
        <v>0</v>
      </c>
      <c r="X189" s="48"/>
      <c r="Y189" s="58">
        <f t="shared" si="43"/>
        <v>0</v>
      </c>
      <c r="Z189" s="49" t="str">
        <f t="shared" si="53"/>
        <v/>
      </c>
      <c r="AA189" s="64"/>
      <c r="AB189" s="94"/>
      <c r="AE189" s="97" t="str">
        <f t="shared" si="45"/>
        <v/>
      </c>
    </row>
    <row r="190" spans="1:31" ht="15.75">
      <c r="A190" s="62" t="str">
        <f t="shared" si="46"/>
        <v/>
      </c>
      <c r="B190" s="44"/>
      <c r="C190" s="46"/>
      <c r="D190" s="46"/>
      <c r="E190" s="50">
        <f t="shared" si="47"/>
        <v>0</v>
      </c>
      <c r="F190" s="48"/>
      <c r="G190" s="51">
        <f t="shared" si="48"/>
        <v>0</v>
      </c>
      <c r="H190" s="43"/>
      <c r="I190" s="44"/>
      <c r="J190" s="54"/>
      <c r="K190" s="48"/>
      <c r="L190" s="48"/>
      <c r="M190" s="48"/>
      <c r="N190" s="48"/>
      <c r="O190" s="48"/>
      <c r="P190" s="48"/>
      <c r="Q190" s="48"/>
      <c r="R190" s="48"/>
      <c r="S190" s="58">
        <f>IF(B190="",0,SUM(K190:R190)+SUMIFS('DESPESAS CASA'!$D$6:$D$305,'DESPESAS CASA'!$E$6:$E$305,A190))-P190</f>
        <v>0</v>
      </c>
      <c r="T190" s="51">
        <f t="shared" si="49"/>
        <v>0</v>
      </c>
      <c r="U190" s="51">
        <f t="shared" si="50"/>
        <v>0</v>
      </c>
      <c r="V190" s="51">
        <f t="shared" si="51"/>
        <v>0</v>
      </c>
      <c r="W190" s="52">
        <f t="shared" si="52"/>
        <v>0</v>
      </c>
      <c r="X190" s="48"/>
      <c r="Y190" s="58">
        <f t="shared" si="43"/>
        <v>0</v>
      </c>
      <c r="Z190" s="49" t="str">
        <f t="shared" si="53"/>
        <v/>
      </c>
      <c r="AA190" s="64"/>
      <c r="AB190" s="94"/>
      <c r="AE190" s="97" t="str">
        <f t="shared" si="45"/>
        <v/>
      </c>
    </row>
    <row r="191" spans="1:31" ht="15.75">
      <c r="A191" s="62" t="str">
        <f t="shared" si="46"/>
        <v/>
      </c>
      <c r="B191" s="44"/>
      <c r="C191" s="46"/>
      <c r="D191" s="46"/>
      <c r="E191" s="50">
        <f t="shared" si="47"/>
        <v>0</v>
      </c>
      <c r="F191" s="48"/>
      <c r="G191" s="51">
        <f t="shared" si="48"/>
        <v>0</v>
      </c>
      <c r="H191" s="43"/>
      <c r="I191" s="44"/>
      <c r="J191" s="54"/>
      <c r="K191" s="48"/>
      <c r="L191" s="48"/>
      <c r="M191" s="48"/>
      <c r="N191" s="48"/>
      <c r="O191" s="48"/>
      <c r="P191" s="48"/>
      <c r="Q191" s="48"/>
      <c r="R191" s="48"/>
      <c r="S191" s="58">
        <f>IF(B191="",0,SUM(K191:R191)+SUMIFS('DESPESAS CASA'!$D$6:$D$305,'DESPESAS CASA'!$E$6:$E$305,A191))-P191</f>
        <v>0</v>
      </c>
      <c r="T191" s="51">
        <f t="shared" si="49"/>
        <v>0</v>
      </c>
      <c r="U191" s="51">
        <f t="shared" si="50"/>
        <v>0</v>
      </c>
      <c r="V191" s="51">
        <f t="shared" si="51"/>
        <v>0</v>
      </c>
      <c r="W191" s="52">
        <f t="shared" si="52"/>
        <v>0</v>
      </c>
      <c r="X191" s="48"/>
      <c r="Y191" s="58">
        <f t="shared" si="43"/>
        <v>0</v>
      </c>
      <c r="Z191" s="49" t="str">
        <f t="shared" si="53"/>
        <v/>
      </c>
      <c r="AA191" s="64"/>
      <c r="AB191" s="94"/>
      <c r="AE191" s="97" t="str">
        <f t="shared" si="45"/>
        <v/>
      </c>
    </row>
    <row r="192" spans="1:31" ht="15.75">
      <c r="A192" s="62" t="str">
        <f t="shared" si="46"/>
        <v/>
      </c>
      <c r="B192" s="44"/>
      <c r="C192" s="46"/>
      <c r="D192" s="46"/>
      <c r="E192" s="50">
        <f t="shared" si="47"/>
        <v>0</v>
      </c>
      <c r="F192" s="48"/>
      <c r="G192" s="51">
        <f t="shared" si="48"/>
        <v>0</v>
      </c>
      <c r="H192" s="43"/>
      <c r="I192" s="44"/>
      <c r="J192" s="54"/>
      <c r="K192" s="48"/>
      <c r="L192" s="48"/>
      <c r="M192" s="48"/>
      <c r="N192" s="48"/>
      <c r="O192" s="48"/>
      <c r="P192" s="48"/>
      <c r="Q192" s="48"/>
      <c r="R192" s="48"/>
      <c r="S192" s="58">
        <f>IF(B192="",0,SUM(K192:R192)+SUMIFS('DESPESAS CASA'!$D$6:$D$305,'DESPESAS CASA'!$E$6:$E$305,A192))-P192</f>
        <v>0</v>
      </c>
      <c r="T192" s="51">
        <f t="shared" si="49"/>
        <v>0</v>
      </c>
      <c r="U192" s="51">
        <f t="shared" si="50"/>
        <v>0</v>
      </c>
      <c r="V192" s="51">
        <f t="shared" si="51"/>
        <v>0</v>
      </c>
      <c r="W192" s="52">
        <f t="shared" si="52"/>
        <v>0</v>
      </c>
      <c r="X192" s="48"/>
      <c r="Y192" s="58">
        <f t="shared" si="43"/>
        <v>0</v>
      </c>
      <c r="Z192" s="49" t="str">
        <f t="shared" si="53"/>
        <v/>
      </c>
      <c r="AA192" s="64"/>
      <c r="AB192" s="94"/>
      <c r="AE192" s="97" t="str">
        <f t="shared" si="45"/>
        <v/>
      </c>
    </row>
    <row r="193" spans="1:31" ht="15.75">
      <c r="A193" s="62" t="str">
        <f t="shared" si="46"/>
        <v/>
      </c>
      <c r="B193" s="44"/>
      <c r="C193" s="46"/>
      <c r="D193" s="46"/>
      <c r="E193" s="50">
        <f t="shared" si="47"/>
        <v>0</v>
      </c>
      <c r="F193" s="48"/>
      <c r="G193" s="51">
        <f t="shared" si="48"/>
        <v>0</v>
      </c>
      <c r="H193" s="43"/>
      <c r="I193" s="44"/>
      <c r="J193" s="54"/>
      <c r="K193" s="48"/>
      <c r="L193" s="48"/>
      <c r="M193" s="48"/>
      <c r="N193" s="48"/>
      <c r="O193" s="48"/>
      <c r="P193" s="48"/>
      <c r="Q193" s="48"/>
      <c r="R193" s="48"/>
      <c r="S193" s="58">
        <f>IF(B193="",0,SUM(K193:R193)+SUMIFS('DESPESAS CASA'!$D$6:$D$305,'DESPESAS CASA'!$E$6:$E$305,A193))-P193</f>
        <v>0</v>
      </c>
      <c r="T193" s="51">
        <f t="shared" si="49"/>
        <v>0</v>
      </c>
      <c r="U193" s="51">
        <f t="shared" si="50"/>
        <v>0</v>
      </c>
      <c r="V193" s="51">
        <f t="shared" si="51"/>
        <v>0</v>
      </c>
      <c r="W193" s="52">
        <f t="shared" si="52"/>
        <v>0</v>
      </c>
      <c r="X193" s="48"/>
      <c r="Y193" s="58">
        <f t="shared" si="43"/>
        <v>0</v>
      </c>
      <c r="Z193" s="49" t="str">
        <f t="shared" si="53"/>
        <v/>
      </c>
      <c r="AA193" s="64"/>
      <c r="AB193" s="94"/>
      <c r="AE193" s="97" t="str">
        <f t="shared" si="45"/>
        <v/>
      </c>
    </row>
    <row r="194" spans="1:31" ht="15.75">
      <c r="A194" s="62" t="str">
        <f t="shared" si="46"/>
        <v/>
      </c>
      <c r="B194" s="44"/>
      <c r="C194" s="46"/>
      <c r="D194" s="46"/>
      <c r="E194" s="50">
        <f t="shared" si="47"/>
        <v>0</v>
      </c>
      <c r="F194" s="48"/>
      <c r="G194" s="51">
        <f t="shared" si="48"/>
        <v>0</v>
      </c>
      <c r="H194" s="43"/>
      <c r="I194" s="44"/>
      <c r="J194" s="54"/>
      <c r="K194" s="48"/>
      <c r="L194" s="48"/>
      <c r="M194" s="48"/>
      <c r="N194" s="48"/>
      <c r="O194" s="48"/>
      <c r="P194" s="48"/>
      <c r="Q194" s="48"/>
      <c r="R194" s="48"/>
      <c r="S194" s="58">
        <f>IF(B194="",0,SUM(K194:R194)+SUMIFS('DESPESAS CASA'!$D$6:$D$305,'DESPESAS CASA'!$E$6:$E$305,A194))-P194</f>
        <v>0</v>
      </c>
      <c r="T194" s="51">
        <f t="shared" si="49"/>
        <v>0</v>
      </c>
      <c r="U194" s="51">
        <f t="shared" si="50"/>
        <v>0</v>
      </c>
      <c r="V194" s="51">
        <f t="shared" si="51"/>
        <v>0</v>
      </c>
      <c r="W194" s="52">
        <f t="shared" si="52"/>
        <v>0</v>
      </c>
      <c r="X194" s="48"/>
      <c r="Y194" s="58">
        <f t="shared" si="43"/>
        <v>0</v>
      </c>
      <c r="Z194" s="49" t="str">
        <f t="shared" si="53"/>
        <v/>
      </c>
      <c r="AA194" s="64"/>
      <c r="AB194" s="94"/>
      <c r="AE194" s="97" t="str">
        <f t="shared" si="45"/>
        <v/>
      </c>
    </row>
    <row r="195" spans="1:31" ht="15.75">
      <c r="A195" s="62" t="str">
        <f t="shared" si="46"/>
        <v/>
      </c>
      <c r="B195" s="44"/>
      <c r="C195" s="46"/>
      <c r="D195" s="46"/>
      <c r="E195" s="50">
        <f t="shared" si="47"/>
        <v>0</v>
      </c>
      <c r="F195" s="48"/>
      <c r="G195" s="51">
        <f t="shared" si="48"/>
        <v>0</v>
      </c>
      <c r="H195" s="43"/>
      <c r="I195" s="44"/>
      <c r="J195" s="54"/>
      <c r="K195" s="48"/>
      <c r="L195" s="48"/>
      <c r="M195" s="48"/>
      <c r="N195" s="48"/>
      <c r="O195" s="48"/>
      <c r="P195" s="48"/>
      <c r="Q195" s="48"/>
      <c r="R195" s="48"/>
      <c r="S195" s="58">
        <f>IF(B195="",0,SUM(K195:R195)+SUMIFS('DESPESAS CASA'!$D$6:$D$305,'DESPESAS CASA'!$E$6:$E$305,A195))-P195</f>
        <v>0</v>
      </c>
      <c r="T195" s="51">
        <f t="shared" si="49"/>
        <v>0</v>
      </c>
      <c r="U195" s="51">
        <f t="shared" si="50"/>
        <v>0</v>
      </c>
      <c r="V195" s="51">
        <f t="shared" si="51"/>
        <v>0</v>
      </c>
      <c r="W195" s="52">
        <f t="shared" si="52"/>
        <v>0</v>
      </c>
      <c r="X195" s="48"/>
      <c r="Y195" s="58">
        <f t="shared" si="43"/>
        <v>0</v>
      </c>
      <c r="Z195" s="49" t="str">
        <f t="shared" si="53"/>
        <v/>
      </c>
      <c r="AA195" s="64"/>
      <c r="AB195" s="94"/>
      <c r="AE195" s="97" t="str">
        <f t="shared" si="45"/>
        <v/>
      </c>
    </row>
    <row r="196" spans="1:31" ht="15.75">
      <c r="A196" s="62" t="str">
        <f t="shared" ref="A196:A203" si="54">IF(B196="","","LOC-"&amp;TEXT(ROW()-5,"000"))</f>
        <v/>
      </c>
      <c r="B196" s="44"/>
      <c r="C196" s="46"/>
      <c r="D196" s="46"/>
      <c r="E196" s="50">
        <f t="shared" ref="E196:E203" si="55">IF(OR(B196="",C196="",D196=""),0,MAX(0,D196-C196))</f>
        <v>0</v>
      </c>
      <c r="F196" s="48"/>
      <c r="G196" s="51">
        <f t="shared" ref="G196:G203" si="56">IF(OR(B196="",E196=0,F196=""),0,E196*F196)</f>
        <v>0</v>
      </c>
      <c r="H196" s="43"/>
      <c r="I196" s="44"/>
      <c r="J196" s="54"/>
      <c r="K196" s="48"/>
      <c r="L196" s="48"/>
      <c r="M196" s="48"/>
      <c r="N196" s="48"/>
      <c r="O196" s="48"/>
      <c r="P196" s="48"/>
      <c r="Q196" s="48"/>
      <c r="R196" s="48"/>
      <c r="S196" s="58">
        <f>IF(B196="",0,SUM(K196:R196)+SUMIFS('DESPESAS CASA'!$D$6:$D$305,'DESPESAS CASA'!$E$6:$E$305,A196))-P196</f>
        <v>0</v>
      </c>
      <c r="T196" s="51">
        <f t="shared" ref="T196:T203" si="57">IF(OR(B196="",E196=0),0,S196/E196)</f>
        <v>0</v>
      </c>
      <c r="U196" s="51">
        <f t="shared" ref="U196:U203" si="58">IF(B196="",0,G196-S196)</f>
        <v>0</v>
      </c>
      <c r="V196" s="51">
        <f t="shared" ref="V196:V203" si="59">IF(OR(B196="",E196=0),0,U196/E196)</f>
        <v>0</v>
      </c>
      <c r="W196" s="52">
        <f t="shared" ref="W196:W203" si="60">IF(OR(B196="",G196=0),0,U196/G196)</f>
        <v>0</v>
      </c>
      <c r="X196" s="48"/>
      <c r="Y196" s="58">
        <f t="shared" si="43"/>
        <v>0</v>
      </c>
      <c r="Z196" s="49" t="str">
        <f t="shared" si="53"/>
        <v/>
      </c>
      <c r="AA196" s="64"/>
      <c r="AB196" s="94"/>
      <c r="AE196" s="97" t="str">
        <f t="shared" si="45"/>
        <v/>
      </c>
    </row>
    <row r="197" spans="1:31" ht="15.75">
      <c r="A197" s="62" t="str">
        <f t="shared" si="54"/>
        <v/>
      </c>
      <c r="B197" s="44"/>
      <c r="C197" s="46"/>
      <c r="D197" s="46"/>
      <c r="E197" s="50">
        <f t="shared" si="55"/>
        <v>0</v>
      </c>
      <c r="F197" s="48"/>
      <c r="G197" s="51">
        <f t="shared" si="56"/>
        <v>0</v>
      </c>
      <c r="H197" s="43"/>
      <c r="I197" s="44"/>
      <c r="J197" s="54"/>
      <c r="K197" s="48"/>
      <c r="L197" s="48"/>
      <c r="M197" s="48"/>
      <c r="N197" s="48"/>
      <c r="O197" s="48"/>
      <c r="P197" s="48"/>
      <c r="Q197" s="48"/>
      <c r="R197" s="48"/>
      <c r="S197" s="58">
        <f>IF(B197="",0,SUM(K197:R197)+SUMIFS('DESPESAS CASA'!$D$6:$D$305,'DESPESAS CASA'!$E$6:$E$305,A197))-P197</f>
        <v>0</v>
      </c>
      <c r="T197" s="51">
        <f t="shared" si="57"/>
        <v>0</v>
      </c>
      <c r="U197" s="51">
        <f t="shared" si="58"/>
        <v>0</v>
      </c>
      <c r="V197" s="51">
        <f t="shared" si="59"/>
        <v>0</v>
      </c>
      <c r="W197" s="52">
        <f t="shared" si="60"/>
        <v>0</v>
      </c>
      <c r="X197" s="48"/>
      <c r="Y197" s="58">
        <f t="shared" ref="Y197:Y203" si="61">IF(B197="",0,IFERROR(MAX(0,G197-X197),G197))</f>
        <v>0</v>
      </c>
      <c r="Z197" s="49" t="str">
        <f t="shared" si="53"/>
        <v/>
      </c>
      <c r="AA197" s="64"/>
      <c r="AB197" s="94"/>
      <c r="AE197" s="97" t="str">
        <f t="shared" si="45"/>
        <v/>
      </c>
    </row>
    <row r="198" spans="1:31" ht="15.75">
      <c r="A198" s="62" t="str">
        <f t="shared" si="54"/>
        <v/>
      </c>
      <c r="B198" s="44"/>
      <c r="C198" s="46"/>
      <c r="D198" s="46"/>
      <c r="E198" s="50">
        <f t="shared" si="55"/>
        <v>0</v>
      </c>
      <c r="F198" s="48"/>
      <c r="G198" s="51">
        <f t="shared" si="56"/>
        <v>0</v>
      </c>
      <c r="H198" s="43"/>
      <c r="I198" s="44"/>
      <c r="J198" s="54"/>
      <c r="K198" s="48"/>
      <c r="L198" s="48"/>
      <c r="M198" s="48"/>
      <c r="N198" s="48"/>
      <c r="O198" s="48"/>
      <c r="P198" s="48"/>
      <c r="Q198" s="48"/>
      <c r="R198" s="48"/>
      <c r="S198" s="58">
        <f>IF(B198="",0,SUM(K198:R198)+SUMIFS('DESPESAS CASA'!$D$6:$D$305,'DESPESAS CASA'!$E$6:$E$305,A198))-P198</f>
        <v>0</v>
      </c>
      <c r="T198" s="51">
        <f t="shared" si="57"/>
        <v>0</v>
      </c>
      <c r="U198" s="51">
        <f t="shared" si="58"/>
        <v>0</v>
      </c>
      <c r="V198" s="51">
        <f t="shared" si="59"/>
        <v>0</v>
      </c>
      <c r="W198" s="52">
        <f t="shared" si="60"/>
        <v>0</v>
      </c>
      <c r="X198" s="48"/>
      <c r="Y198" s="58">
        <f t="shared" si="61"/>
        <v>0</v>
      </c>
      <c r="Z198" s="49" t="str">
        <f t="shared" ref="Z198:Z203" si="62">IF(B198="","",IF(COUNTIFS($C$6:$C$203,"&lt;"&amp;D198,$D$6:$D$203,"&gt;"&amp;C198,$I$6:$I$203,"&lt;&gt;Cancelada",$I$6:$I$203,"&lt;&gt;Consulta",$AB$6:$AB$203,$AB198)&gt;1,"CONFLITO","OK"))</f>
        <v/>
      </c>
      <c r="AA198" s="64"/>
      <c r="AB198" s="94"/>
      <c r="AE198" s="97" t="str">
        <f t="shared" si="45"/>
        <v/>
      </c>
    </row>
    <row r="199" spans="1:31" ht="15.75">
      <c r="A199" s="62" t="str">
        <f t="shared" si="54"/>
        <v/>
      </c>
      <c r="B199" s="44"/>
      <c r="C199" s="46"/>
      <c r="D199" s="46"/>
      <c r="E199" s="50">
        <f t="shared" si="55"/>
        <v>0</v>
      </c>
      <c r="F199" s="48"/>
      <c r="G199" s="51">
        <f t="shared" si="56"/>
        <v>0</v>
      </c>
      <c r="H199" s="43"/>
      <c r="I199" s="44"/>
      <c r="J199" s="54"/>
      <c r="K199" s="48"/>
      <c r="L199" s="48"/>
      <c r="M199" s="48"/>
      <c r="N199" s="48"/>
      <c r="O199" s="48"/>
      <c r="P199" s="48"/>
      <c r="Q199" s="48"/>
      <c r="R199" s="48"/>
      <c r="S199" s="58">
        <f>IF(B199="",0,SUM(K199:R199)+SUMIFS('DESPESAS CASA'!$D$6:$D$305,'DESPESAS CASA'!$E$6:$E$305,A199))-P199</f>
        <v>0</v>
      </c>
      <c r="T199" s="51">
        <f t="shared" si="57"/>
        <v>0</v>
      </c>
      <c r="U199" s="51">
        <f t="shared" si="58"/>
        <v>0</v>
      </c>
      <c r="V199" s="51">
        <f t="shared" si="59"/>
        <v>0</v>
      </c>
      <c r="W199" s="52">
        <f t="shared" si="60"/>
        <v>0</v>
      </c>
      <c r="X199" s="48"/>
      <c r="Y199" s="58">
        <f t="shared" si="61"/>
        <v>0</v>
      </c>
      <c r="Z199" s="49" t="str">
        <f t="shared" si="62"/>
        <v/>
      </c>
      <c r="AA199" s="64"/>
      <c r="AB199" s="94"/>
      <c r="AE199" s="97" t="str">
        <f t="shared" ref="AE199:AE203" si="63">IF((AC199+AD199)=0,"",AC199+AD199)</f>
        <v/>
      </c>
    </row>
    <row r="200" spans="1:31" ht="15.75">
      <c r="A200" s="62" t="str">
        <f t="shared" si="54"/>
        <v/>
      </c>
      <c r="B200" s="44"/>
      <c r="C200" s="46"/>
      <c r="D200" s="46"/>
      <c r="E200" s="50">
        <f t="shared" si="55"/>
        <v>0</v>
      </c>
      <c r="F200" s="48"/>
      <c r="G200" s="51">
        <f t="shared" si="56"/>
        <v>0</v>
      </c>
      <c r="H200" s="43"/>
      <c r="I200" s="44"/>
      <c r="J200" s="54"/>
      <c r="K200" s="48"/>
      <c r="L200" s="48"/>
      <c r="M200" s="48"/>
      <c r="N200" s="48"/>
      <c r="O200" s="48"/>
      <c r="P200" s="48"/>
      <c r="Q200" s="48"/>
      <c r="R200" s="48"/>
      <c r="S200" s="58">
        <f>IF(B200="",0,SUM(K200:R200)+SUMIFS('DESPESAS CASA'!$D$6:$D$305,'DESPESAS CASA'!$E$6:$E$305,A200))-P200</f>
        <v>0</v>
      </c>
      <c r="T200" s="51">
        <f t="shared" si="57"/>
        <v>0</v>
      </c>
      <c r="U200" s="51">
        <f t="shared" si="58"/>
        <v>0</v>
      </c>
      <c r="V200" s="51">
        <f t="shared" si="59"/>
        <v>0</v>
      </c>
      <c r="W200" s="52">
        <f t="shared" si="60"/>
        <v>0</v>
      </c>
      <c r="X200" s="48"/>
      <c r="Y200" s="58">
        <f t="shared" si="61"/>
        <v>0</v>
      </c>
      <c r="Z200" s="49" t="str">
        <f t="shared" si="62"/>
        <v/>
      </c>
      <c r="AA200" s="64"/>
      <c r="AB200" s="94"/>
      <c r="AE200" s="97" t="str">
        <f t="shared" si="63"/>
        <v/>
      </c>
    </row>
    <row r="201" spans="1:31" ht="15.75">
      <c r="A201" s="62" t="str">
        <f t="shared" si="54"/>
        <v/>
      </c>
      <c r="B201" s="44"/>
      <c r="C201" s="46"/>
      <c r="D201" s="46"/>
      <c r="E201" s="50">
        <f t="shared" si="55"/>
        <v>0</v>
      </c>
      <c r="F201" s="48"/>
      <c r="G201" s="51">
        <f t="shared" si="56"/>
        <v>0</v>
      </c>
      <c r="H201" s="43"/>
      <c r="I201" s="44"/>
      <c r="J201" s="54"/>
      <c r="K201" s="48"/>
      <c r="L201" s="48"/>
      <c r="M201" s="48"/>
      <c r="N201" s="48"/>
      <c r="O201" s="48"/>
      <c r="P201" s="48"/>
      <c r="Q201" s="48"/>
      <c r="R201" s="48"/>
      <c r="S201" s="58">
        <f>IF(B201="",0,SUM(K201:R201)+SUMIFS('DESPESAS CASA'!$D$6:$D$305,'DESPESAS CASA'!$E$6:$E$305,A201))-P201</f>
        <v>0</v>
      </c>
      <c r="T201" s="51">
        <f t="shared" si="57"/>
        <v>0</v>
      </c>
      <c r="U201" s="51">
        <f t="shared" si="58"/>
        <v>0</v>
      </c>
      <c r="V201" s="51">
        <f t="shared" si="59"/>
        <v>0</v>
      </c>
      <c r="W201" s="52">
        <f t="shared" si="60"/>
        <v>0</v>
      </c>
      <c r="X201" s="48"/>
      <c r="Y201" s="58">
        <f t="shared" si="61"/>
        <v>0</v>
      </c>
      <c r="Z201" s="49" t="str">
        <f t="shared" si="62"/>
        <v/>
      </c>
      <c r="AA201" s="64"/>
      <c r="AB201" s="94"/>
      <c r="AE201" s="97" t="str">
        <f t="shared" si="63"/>
        <v/>
      </c>
    </row>
    <row r="202" spans="1:31" ht="15.75">
      <c r="A202" s="62" t="str">
        <f t="shared" si="54"/>
        <v/>
      </c>
      <c r="B202" s="44"/>
      <c r="C202" s="46"/>
      <c r="D202" s="46"/>
      <c r="E202" s="50">
        <f t="shared" si="55"/>
        <v>0</v>
      </c>
      <c r="F202" s="48"/>
      <c r="G202" s="51">
        <f t="shared" si="56"/>
        <v>0</v>
      </c>
      <c r="H202" s="43"/>
      <c r="I202" s="44"/>
      <c r="J202" s="54"/>
      <c r="K202" s="48"/>
      <c r="L202" s="48"/>
      <c r="M202" s="48"/>
      <c r="N202" s="48"/>
      <c r="O202" s="48"/>
      <c r="P202" s="48"/>
      <c r="Q202" s="48"/>
      <c r="R202" s="48"/>
      <c r="S202" s="58">
        <f>IF(B202="",0,SUM(K202:R202)+SUMIFS('DESPESAS CASA'!$D$6:$D$305,'DESPESAS CASA'!$E$6:$E$305,A202))-P202</f>
        <v>0</v>
      </c>
      <c r="T202" s="51">
        <f t="shared" si="57"/>
        <v>0</v>
      </c>
      <c r="U202" s="51">
        <f t="shared" si="58"/>
        <v>0</v>
      </c>
      <c r="V202" s="51">
        <f t="shared" si="59"/>
        <v>0</v>
      </c>
      <c r="W202" s="52">
        <f t="shared" si="60"/>
        <v>0</v>
      </c>
      <c r="X202" s="48"/>
      <c r="Y202" s="58">
        <f t="shared" si="61"/>
        <v>0</v>
      </c>
      <c r="Z202" s="49" t="str">
        <f t="shared" si="62"/>
        <v/>
      </c>
      <c r="AA202" s="64"/>
      <c r="AB202" s="94"/>
      <c r="AE202" s="97" t="str">
        <f t="shared" si="63"/>
        <v/>
      </c>
    </row>
    <row r="203" spans="1:31" ht="15.75">
      <c r="A203" s="65" t="str">
        <f t="shared" si="54"/>
        <v/>
      </c>
      <c r="B203" s="66"/>
      <c r="C203" s="67"/>
      <c r="D203" s="67"/>
      <c r="E203" s="68">
        <f t="shared" si="55"/>
        <v>0</v>
      </c>
      <c r="F203" s="69"/>
      <c r="G203" s="70">
        <f t="shared" si="56"/>
        <v>0</v>
      </c>
      <c r="H203" s="43"/>
      <c r="I203" s="66"/>
      <c r="J203" s="54"/>
      <c r="K203" s="69"/>
      <c r="L203" s="69"/>
      <c r="M203" s="69"/>
      <c r="N203" s="69"/>
      <c r="O203" s="69"/>
      <c r="P203" s="69"/>
      <c r="Q203" s="69"/>
      <c r="R203" s="69"/>
      <c r="S203" s="58">
        <f>IF(B203="",0,SUM(K203:R203)+SUMIFS('DESPESAS CASA'!$D$6:$D$305,'DESPESAS CASA'!$E$6:$E$305,A203))-P203</f>
        <v>0</v>
      </c>
      <c r="T203" s="70">
        <f t="shared" si="57"/>
        <v>0</v>
      </c>
      <c r="U203" s="70">
        <f t="shared" si="58"/>
        <v>0</v>
      </c>
      <c r="V203" s="70">
        <f t="shared" si="59"/>
        <v>0</v>
      </c>
      <c r="W203" s="71">
        <f t="shared" si="60"/>
        <v>0</v>
      </c>
      <c r="X203" s="69"/>
      <c r="Y203" s="58">
        <f t="shared" si="61"/>
        <v>0</v>
      </c>
      <c r="Z203" s="72" t="str">
        <f t="shared" si="62"/>
        <v/>
      </c>
      <c r="AA203" s="73"/>
      <c r="AB203" s="94"/>
      <c r="AE203" s="97" t="str">
        <f t="shared" si="63"/>
        <v/>
      </c>
    </row>
    <row r="204" spans="1:31" ht="15.75">
      <c r="AE204" s="97"/>
    </row>
    <row r="205" spans="1:31" ht="15.75">
      <c r="AE205" s="97"/>
    </row>
    <row r="206" spans="1:31" ht="15.75">
      <c r="AE206" s="97"/>
    </row>
    <row r="207" spans="1:31" ht="15.75">
      <c r="AE207" s="97"/>
    </row>
    <row r="208" spans="1:31" ht="15.75">
      <c r="AE208" s="97"/>
    </row>
    <row r="209" spans="31:31" ht="15.75">
      <c r="AE209" s="97"/>
    </row>
    <row r="210" spans="31:31" ht="15.75">
      <c r="AE210" s="97"/>
    </row>
    <row r="211" spans="31:31" ht="15.75">
      <c r="AE211" s="97"/>
    </row>
    <row r="212" spans="31:31" ht="15.75">
      <c r="AE212" s="97"/>
    </row>
    <row r="213" spans="31:31" ht="15.75">
      <c r="AE213" s="97"/>
    </row>
    <row r="214" spans="31:31" ht="15.75">
      <c r="AE214" s="97"/>
    </row>
    <row r="215" spans="31:31" ht="15.75">
      <c r="AE215" s="97"/>
    </row>
    <row r="216" spans="31:31" ht="15.75">
      <c r="AE216" s="97"/>
    </row>
    <row r="217" spans="31:31" ht="15.75">
      <c r="AE217" s="97"/>
    </row>
    <row r="218" spans="31:31" ht="15.75">
      <c r="AE218" s="97"/>
    </row>
    <row r="219" spans="31:31" ht="15.75">
      <c r="AE219" s="97"/>
    </row>
    <row r="220" spans="31:31" ht="15.75">
      <c r="AE220" s="97"/>
    </row>
    <row r="221" spans="31:31" ht="15.75">
      <c r="AE221" s="97"/>
    </row>
    <row r="222" spans="31:31" ht="15.75">
      <c r="AE222" s="97"/>
    </row>
    <row r="223" spans="31:31" ht="15.75">
      <c r="AE223" s="97"/>
    </row>
    <row r="224" spans="31:31" ht="15.75">
      <c r="AE224" s="97"/>
    </row>
    <row r="225" spans="31:31" ht="15.75">
      <c r="AE225" s="97"/>
    </row>
    <row r="226" spans="31:31" ht="15.75">
      <c r="AE226" s="97"/>
    </row>
    <row r="227" spans="31:31" ht="15.75">
      <c r="AE227" s="97"/>
    </row>
    <row r="228" spans="31:31" ht="15.75">
      <c r="AE228" s="97"/>
    </row>
    <row r="229" spans="31:31" ht="15.75">
      <c r="AE229" s="97"/>
    </row>
    <row r="230" spans="31:31" ht="15.75">
      <c r="AE230" s="97"/>
    </row>
    <row r="231" spans="31:31" ht="15.75">
      <c r="AE231" s="97"/>
    </row>
    <row r="232" spans="31:31" ht="15.75">
      <c r="AE232" s="97"/>
    </row>
    <row r="233" spans="31:31" ht="15.75">
      <c r="AE233" s="97"/>
    </row>
    <row r="234" spans="31:31" ht="15.75">
      <c r="AE234" s="97"/>
    </row>
    <row r="235" spans="31:31" ht="15.75">
      <c r="AE235" s="97"/>
    </row>
    <row r="236" spans="31:31" ht="15.75">
      <c r="AE236" s="97"/>
    </row>
    <row r="237" spans="31:31" ht="15.75">
      <c r="AE237" s="97"/>
    </row>
    <row r="238" spans="31:31" ht="15.75">
      <c r="AE238" s="97"/>
    </row>
    <row r="239" spans="31:31" ht="15.75">
      <c r="AE239" s="97"/>
    </row>
    <row r="240" spans="31:31" ht="15.75">
      <c r="AE240" s="97"/>
    </row>
    <row r="241" spans="31:31" ht="15.75">
      <c r="AE241" s="97"/>
    </row>
    <row r="242" spans="31:31" ht="15.75">
      <c r="AE242" s="97"/>
    </row>
  </sheetData>
  <mergeCells count="3">
    <mergeCell ref="A1:AA1"/>
    <mergeCell ref="A3:AA3"/>
    <mergeCell ref="AG4:AH4"/>
  </mergeCells>
  <conditionalFormatting sqref="A6:J1000">
    <cfRule type="expression" dxfId="10" priority="8" stopIfTrue="1">
      <formula>$J6="Cortesia"</formula>
    </cfRule>
    <cfRule type="expression" dxfId="19" priority="9">
      <formula>AND(ISNUMBER($D6),$D6&lt;TODAY())</formula>
    </cfRule>
    <cfRule type="expression" dxfId="18" priority="10">
      <formula>AND(ISNUMBER($D6),$D6&lt;TODAY())</formula>
    </cfRule>
  </conditionalFormatting>
  <conditionalFormatting sqref="U6:U63">
    <cfRule type="cellIs" dxfId="17" priority="7" operator="lessThan">
      <formula>0</formula>
    </cfRule>
  </conditionalFormatting>
  <conditionalFormatting sqref="Y6:Y203">
    <cfRule type="expression" dxfId="16" priority="6">
      <formula>Y6&gt;0</formula>
    </cfRule>
  </conditionalFormatting>
  <conditionalFormatting sqref="Z6:Z63">
    <cfRule type="expression" dxfId="15" priority="4">
      <formula>Z6="CONFLITO"</formula>
    </cfRule>
    <cfRule type="expression" dxfId="14" priority="5">
      <formula>Z6="OK"</formula>
    </cfRule>
  </conditionalFormatting>
  <conditionalFormatting sqref="AE6:AE1000">
    <cfRule type="expression" dxfId="13" priority="11">
      <formula>AND(ISNUMBER($AE6),$AE6&gt;6)</formula>
    </cfRule>
  </conditionalFormatting>
  <conditionalFormatting sqref="AG6:AG1048576">
    <cfRule type="cellIs" dxfId="12" priority="3" operator="greaterThan">
      <formula>6</formula>
    </cfRule>
  </conditionalFormatting>
  <conditionalFormatting sqref="AH6">
    <cfRule type="cellIs" dxfId="11" priority="2" operator="greaterThan">
      <formula>6</formula>
    </cfRule>
  </conditionalFormatting>
  <dataValidations count="7">
    <dataValidation type="list" sqref="H6:H7 H9" xr:uid="{00000000-0002-0000-0200-000000000000}">
      <formula1>"Normal,Férias escolares,Feriado,Natal,Réveillon,Natal / Réveillon,Carnaval,Páscoa,Temporada de verão,Final de semana prolongado,Evento local,Outro"</formula1>
    </dataValidation>
    <dataValidation type="list" sqref="I6:I203" xr:uid="{00000000-0002-0000-0200-000001000000}">
      <formula1>"Consulta,Pré-reserva,Confirmada,Concluída,Cancelada"</formula1>
    </dataValidation>
    <dataValidation type="custom" allowBlank="1" showInputMessage="1" showErrorMessage="1" errorTitle="Conflito de agenda" error="Esta data coincide com outra reserva do mesmo imóvel. Escolha outra data ou selecione o imóvel correto." promptTitle="Entrada da reserva" prompt="Escolha uma data livre. Dias já comprometidos, inclusive check-out de outra reserva, são bloqueados." sqref="C6:C203" xr:uid="{00000000-0002-0000-0200-000002000000}">
      <formula1>OR(C6="",SUMPRODUCT(($C$6:$C$203&lt;=C6)*($D$6:$D$203&gt;=C6)*($I$6:$I$203&lt;&gt;"Cancelada")*($I$6:$I$203&lt;&gt;"Consulta")*(IF($AB$6:$AB$203="","Casa Cinza",$AB$6:$AB$203)=IF($AB6="","Casa Cinza",$AB6))*(ROW($C$6:$C$203)&lt;&gt;ROW()))=0)</formula1>
    </dataValidation>
    <dataValidation type="custom" allowBlank="1" showInputMessage="1" showErrorMessage="1" errorTitle="Conflito de agenda" error="Esta data coincide com outra reserva do mesmo imóvel. Escolha outra data ou selecione o imóvel correto." promptTitle="Saída da reserva" prompt="Informe uma saída posterior à entrada. O período não pode sobrepor nenhuma reserva existente." sqref="D6:D203" xr:uid="{00000000-0002-0000-0200-000003000000}">
      <formula1>OR(D6="",AND(C6&lt;&gt;"",D6&gt;C6,SUMPRODUCT(($C$6:$C$203&lt;=D6)*($D$6:$D$203&gt;=C6)*($I$6:$I$203&lt;&gt;"Cancelada")*($I$6:$I$203&lt;&gt;"Consulta")*(IF($AB$6:$AB$203="","Casa Cinza",$AB$6:$AB$203)=IF($AB6="","Casa Cinza",$AB6))*(ROW($C$6:$C$203)&lt;&gt;ROW()))=0))</formula1>
    </dataValidation>
    <dataValidation type="list" sqref="J6:J203" xr:uid="{00000000-0002-0000-0200-000004000000}">
      <formula1>"Direto,Airbnb,Booking,Imobiliária,Indicação,Cortesia,Outro"</formula1>
    </dataValidation>
    <dataValidation type="list" sqref="AB6:AB203" xr:uid="{00000000-0002-0000-0200-000005000000}">
      <formula1>"Casa Cinza,Casa Laranja"</formula1>
    </dataValidation>
    <dataValidation type="list" sqref="H10:H203 H8" xr:uid="{315E0772-C836-474B-A702-0BAA8E4361DE}">
      <formula1>"Normal,Férias,Feriado,Natal,Réveillon,Natal / Réveillon,Carnaval,Páscoa,Temporada de verão,Final de semana prolongado,Evento local,Outro"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5"/>
  <sheetViews>
    <sheetView workbookViewId="0">
      <selection activeCell="G6" sqref="G6"/>
    </sheetView>
  </sheetViews>
  <sheetFormatPr defaultRowHeight="14.25"/>
  <cols>
    <col min="1" max="1" width="13" customWidth="1"/>
    <col min="2" max="2" width="20" customWidth="1"/>
    <col min="3" max="3" width="32" customWidth="1"/>
    <col min="4" max="4" width="15" customWidth="1"/>
    <col min="5" max="5" width="21" customWidth="1"/>
    <col min="6" max="6" width="34" customWidth="1"/>
    <col min="7" max="7" width="18" customWidth="1"/>
  </cols>
  <sheetData>
    <row r="1" spans="1:7" ht="24" customHeight="1">
      <c r="A1" s="120" t="s">
        <v>91</v>
      </c>
      <c r="B1" s="120"/>
      <c r="C1" s="120"/>
      <c r="D1" s="120"/>
      <c r="E1" s="120"/>
      <c r="F1" s="120"/>
    </row>
    <row r="3" spans="1:7" ht="27.2" customHeight="1">
      <c r="A3" s="123" t="s">
        <v>92</v>
      </c>
      <c r="B3" s="123"/>
      <c r="C3" s="123"/>
      <c r="D3" s="123"/>
      <c r="E3" s="123"/>
      <c r="F3" s="123"/>
    </row>
    <row r="5" spans="1:7" ht="24" customHeight="1">
      <c r="A5" s="2" t="s">
        <v>93</v>
      </c>
      <c r="B5" s="4" t="s">
        <v>94</v>
      </c>
      <c r="C5" s="4" t="s">
        <v>95</v>
      </c>
      <c r="D5" s="4" t="s">
        <v>96</v>
      </c>
      <c r="E5" s="4" t="s">
        <v>97</v>
      </c>
      <c r="F5" s="3" t="s">
        <v>79</v>
      </c>
      <c r="G5" s="93" t="s">
        <v>118</v>
      </c>
    </row>
    <row r="6" spans="1:7">
      <c r="A6" s="75"/>
      <c r="B6" s="54" t="s">
        <v>98</v>
      </c>
      <c r="C6" s="54"/>
      <c r="D6" s="81"/>
      <c r="E6" s="54" t="s">
        <v>99</v>
      </c>
      <c r="F6" s="76"/>
      <c r="G6" s="94" t="s">
        <v>119</v>
      </c>
    </row>
    <row r="7" spans="1:7">
      <c r="A7" s="77"/>
      <c r="B7" s="43"/>
      <c r="C7" s="43"/>
      <c r="D7" s="82"/>
      <c r="E7" s="43"/>
      <c r="F7" s="78"/>
      <c r="G7" s="94"/>
    </row>
    <row r="8" spans="1:7">
      <c r="A8" s="77"/>
      <c r="B8" s="43"/>
      <c r="C8" s="43"/>
      <c r="D8" s="82"/>
      <c r="E8" s="43"/>
      <c r="F8" s="78"/>
      <c r="G8" s="94"/>
    </row>
    <row r="9" spans="1:7">
      <c r="A9" s="77"/>
      <c r="B9" s="43"/>
      <c r="C9" s="43"/>
      <c r="D9" s="82"/>
      <c r="E9" s="43"/>
      <c r="F9" s="78"/>
      <c r="G9" s="94"/>
    </row>
    <row r="10" spans="1:7">
      <c r="A10" s="77"/>
      <c r="B10" s="43"/>
      <c r="C10" s="43"/>
      <c r="D10" s="82"/>
      <c r="E10" s="43"/>
      <c r="F10" s="78"/>
      <c r="G10" s="94"/>
    </row>
    <row r="11" spans="1:7">
      <c r="A11" s="77"/>
      <c r="B11" s="43"/>
      <c r="C11" s="43"/>
      <c r="D11" s="82"/>
      <c r="E11" s="43"/>
      <c r="F11" s="78"/>
      <c r="G11" s="94"/>
    </row>
    <row r="12" spans="1:7">
      <c r="A12" s="77"/>
      <c r="B12" s="43"/>
      <c r="C12" s="43"/>
      <c r="D12" s="82"/>
      <c r="E12" s="43"/>
      <c r="F12" s="78"/>
      <c r="G12" s="94"/>
    </row>
    <row r="13" spans="1:7">
      <c r="A13" s="77"/>
      <c r="B13" s="43"/>
      <c r="C13" s="43"/>
      <c r="D13" s="82"/>
      <c r="E13" s="43"/>
      <c r="F13" s="78"/>
      <c r="G13" s="94"/>
    </row>
    <row r="14" spans="1:7">
      <c r="A14" s="77"/>
      <c r="B14" s="43"/>
      <c r="C14" s="43"/>
      <c r="D14" s="82"/>
      <c r="E14" s="43"/>
      <c r="F14" s="78"/>
      <c r="G14" s="94"/>
    </row>
    <row r="15" spans="1:7">
      <c r="A15" s="77"/>
      <c r="B15" s="43"/>
      <c r="C15" s="43"/>
      <c r="D15" s="82"/>
      <c r="E15" s="43"/>
      <c r="F15" s="78"/>
      <c r="G15" s="94"/>
    </row>
    <row r="16" spans="1:7">
      <c r="A16" s="77"/>
      <c r="B16" s="43"/>
      <c r="C16" s="43"/>
      <c r="D16" s="82"/>
      <c r="E16" s="43"/>
      <c r="F16" s="78"/>
      <c r="G16" s="94"/>
    </row>
    <row r="17" spans="1:7">
      <c r="A17" s="77"/>
      <c r="B17" s="43"/>
      <c r="C17" s="43"/>
      <c r="D17" s="82"/>
      <c r="E17" s="43"/>
      <c r="F17" s="78"/>
      <c r="G17" s="94"/>
    </row>
    <row r="18" spans="1:7">
      <c r="A18" s="77"/>
      <c r="B18" s="43"/>
      <c r="C18" s="43"/>
      <c r="D18" s="82"/>
      <c r="E18" s="43"/>
      <c r="F18" s="78"/>
      <c r="G18" s="94"/>
    </row>
    <row r="19" spans="1:7">
      <c r="A19" s="77"/>
      <c r="B19" s="43"/>
      <c r="C19" s="43"/>
      <c r="D19" s="82"/>
      <c r="E19" s="43"/>
      <c r="F19" s="78"/>
      <c r="G19" s="94"/>
    </row>
    <row r="20" spans="1:7">
      <c r="A20" s="77"/>
      <c r="B20" s="43"/>
      <c r="C20" s="43"/>
      <c r="D20" s="82"/>
      <c r="E20" s="43"/>
      <c r="F20" s="78"/>
      <c r="G20" s="94"/>
    </row>
    <row r="21" spans="1:7">
      <c r="A21" s="77"/>
      <c r="B21" s="43"/>
      <c r="C21" s="43"/>
      <c r="D21" s="82"/>
      <c r="E21" s="43"/>
      <c r="F21" s="78"/>
      <c r="G21" s="94"/>
    </row>
    <row r="22" spans="1:7">
      <c r="A22" s="77"/>
      <c r="B22" s="43"/>
      <c r="C22" s="43"/>
      <c r="D22" s="82"/>
      <c r="E22" s="43"/>
      <c r="F22" s="78"/>
      <c r="G22" s="94"/>
    </row>
    <row r="23" spans="1:7">
      <c r="A23" s="77"/>
      <c r="B23" s="43"/>
      <c r="C23" s="43"/>
      <c r="D23" s="82"/>
      <c r="E23" s="43"/>
      <c r="F23" s="78"/>
      <c r="G23" s="94"/>
    </row>
    <row r="24" spans="1:7">
      <c r="A24" s="77"/>
      <c r="B24" s="43"/>
      <c r="C24" s="43"/>
      <c r="D24" s="82"/>
      <c r="E24" s="43"/>
      <c r="F24" s="78"/>
      <c r="G24" s="94"/>
    </row>
    <row r="25" spans="1:7">
      <c r="A25" s="77"/>
      <c r="B25" s="43"/>
      <c r="C25" s="43"/>
      <c r="D25" s="82"/>
      <c r="E25" s="43"/>
      <c r="F25" s="78"/>
      <c r="G25" s="94"/>
    </row>
    <row r="26" spans="1:7">
      <c r="A26" s="77"/>
      <c r="B26" s="43"/>
      <c r="C26" s="43"/>
      <c r="D26" s="82"/>
      <c r="E26" s="43"/>
      <c r="F26" s="78"/>
      <c r="G26" s="94"/>
    </row>
    <row r="27" spans="1:7">
      <c r="A27" s="77"/>
      <c r="B27" s="43"/>
      <c r="C27" s="43"/>
      <c r="D27" s="82"/>
      <c r="E27" s="43"/>
      <c r="F27" s="78"/>
      <c r="G27" s="94"/>
    </row>
    <row r="28" spans="1:7">
      <c r="A28" s="77"/>
      <c r="B28" s="43"/>
      <c r="C28" s="43"/>
      <c r="D28" s="82"/>
      <c r="E28" s="43"/>
      <c r="F28" s="78"/>
      <c r="G28" s="94"/>
    </row>
    <row r="29" spans="1:7">
      <c r="A29" s="77"/>
      <c r="B29" s="43"/>
      <c r="C29" s="43"/>
      <c r="D29" s="82"/>
      <c r="E29" s="43"/>
      <c r="F29" s="78"/>
      <c r="G29" s="94"/>
    </row>
    <row r="30" spans="1:7">
      <c r="A30" s="77"/>
      <c r="B30" s="43"/>
      <c r="C30" s="43"/>
      <c r="D30" s="82"/>
      <c r="E30" s="43"/>
      <c r="F30" s="78"/>
      <c r="G30" s="94"/>
    </row>
    <row r="31" spans="1:7">
      <c r="A31" s="77"/>
      <c r="B31" s="43"/>
      <c r="C31" s="43"/>
      <c r="D31" s="82"/>
      <c r="E31" s="43"/>
      <c r="F31" s="78"/>
      <c r="G31" s="94"/>
    </row>
    <row r="32" spans="1:7">
      <c r="A32" s="77"/>
      <c r="B32" s="43"/>
      <c r="C32" s="43"/>
      <c r="D32" s="82"/>
      <c r="E32" s="43"/>
      <c r="F32" s="78"/>
      <c r="G32" s="94"/>
    </row>
    <row r="33" spans="1:7">
      <c r="A33" s="77"/>
      <c r="B33" s="43"/>
      <c r="C33" s="43"/>
      <c r="D33" s="82"/>
      <c r="E33" s="43"/>
      <c r="F33" s="78"/>
      <c r="G33" s="94"/>
    </row>
    <row r="34" spans="1:7">
      <c r="A34" s="77"/>
      <c r="B34" s="43"/>
      <c r="C34" s="43"/>
      <c r="D34" s="82"/>
      <c r="E34" s="43"/>
      <c r="F34" s="78"/>
      <c r="G34" s="94"/>
    </row>
    <row r="35" spans="1:7">
      <c r="A35" s="77"/>
      <c r="B35" s="43"/>
      <c r="C35" s="43"/>
      <c r="D35" s="82"/>
      <c r="E35" s="43"/>
      <c r="F35" s="78"/>
      <c r="G35" s="94"/>
    </row>
    <row r="36" spans="1:7">
      <c r="A36" s="77"/>
      <c r="B36" s="43"/>
      <c r="C36" s="43"/>
      <c r="D36" s="82"/>
      <c r="E36" s="43"/>
      <c r="F36" s="78"/>
      <c r="G36" s="94"/>
    </row>
    <row r="37" spans="1:7">
      <c r="A37" s="77"/>
      <c r="B37" s="43"/>
      <c r="C37" s="43"/>
      <c r="D37" s="82"/>
      <c r="E37" s="43"/>
      <c r="F37" s="78"/>
      <c r="G37" s="94"/>
    </row>
    <row r="38" spans="1:7">
      <c r="A38" s="77"/>
      <c r="B38" s="43"/>
      <c r="C38" s="43"/>
      <c r="D38" s="82"/>
      <c r="E38" s="43"/>
      <c r="F38" s="78"/>
      <c r="G38" s="94"/>
    </row>
    <row r="39" spans="1:7">
      <c r="A39" s="77"/>
      <c r="B39" s="43"/>
      <c r="C39" s="43"/>
      <c r="D39" s="82"/>
      <c r="E39" s="43"/>
      <c r="F39" s="78"/>
      <c r="G39" s="94"/>
    </row>
    <row r="40" spans="1:7">
      <c r="A40" s="77"/>
      <c r="B40" s="43"/>
      <c r="C40" s="43"/>
      <c r="D40" s="82"/>
      <c r="E40" s="43"/>
      <c r="F40" s="78"/>
      <c r="G40" s="94"/>
    </row>
    <row r="41" spans="1:7">
      <c r="A41" s="77"/>
      <c r="B41" s="43"/>
      <c r="C41" s="43"/>
      <c r="D41" s="82"/>
      <c r="E41" s="43"/>
      <c r="F41" s="78"/>
      <c r="G41" s="94"/>
    </row>
    <row r="42" spans="1:7">
      <c r="A42" s="77"/>
      <c r="B42" s="43"/>
      <c r="C42" s="43"/>
      <c r="D42" s="82"/>
      <c r="E42" s="43"/>
      <c r="F42" s="78"/>
      <c r="G42" s="94"/>
    </row>
    <row r="43" spans="1:7">
      <c r="A43" s="77"/>
      <c r="B43" s="43"/>
      <c r="C43" s="43"/>
      <c r="D43" s="82"/>
      <c r="E43" s="43"/>
      <c r="F43" s="78"/>
      <c r="G43" s="94"/>
    </row>
    <row r="44" spans="1:7">
      <c r="A44" s="77"/>
      <c r="B44" s="43"/>
      <c r="C44" s="43"/>
      <c r="D44" s="82"/>
      <c r="E44" s="43"/>
      <c r="F44" s="78"/>
      <c r="G44" s="94"/>
    </row>
    <row r="45" spans="1:7">
      <c r="A45" s="77"/>
      <c r="B45" s="43"/>
      <c r="C45" s="43"/>
      <c r="D45" s="82"/>
      <c r="E45" s="43"/>
      <c r="F45" s="78"/>
      <c r="G45" s="94"/>
    </row>
    <row r="46" spans="1:7">
      <c r="A46" s="77"/>
      <c r="B46" s="43"/>
      <c r="C46" s="43"/>
      <c r="D46" s="82"/>
      <c r="E46" s="43"/>
      <c r="F46" s="78"/>
      <c r="G46" s="94"/>
    </row>
    <row r="47" spans="1:7">
      <c r="A47" s="77"/>
      <c r="B47" s="43"/>
      <c r="C47" s="43"/>
      <c r="D47" s="82"/>
      <c r="E47" s="43"/>
      <c r="F47" s="78"/>
      <c r="G47" s="94"/>
    </row>
    <row r="48" spans="1:7">
      <c r="A48" s="77"/>
      <c r="B48" s="43"/>
      <c r="C48" s="43"/>
      <c r="D48" s="82"/>
      <c r="E48" s="43"/>
      <c r="F48" s="78"/>
      <c r="G48" s="94"/>
    </row>
    <row r="49" spans="1:7">
      <c r="A49" s="77"/>
      <c r="B49" s="43"/>
      <c r="C49" s="43"/>
      <c r="D49" s="82"/>
      <c r="E49" s="43"/>
      <c r="F49" s="78"/>
      <c r="G49" s="94"/>
    </row>
    <row r="50" spans="1:7">
      <c r="A50" s="77"/>
      <c r="B50" s="43"/>
      <c r="C50" s="43"/>
      <c r="D50" s="82"/>
      <c r="E50" s="43"/>
      <c r="F50" s="78"/>
      <c r="G50" s="94"/>
    </row>
    <row r="51" spans="1:7">
      <c r="A51" s="77"/>
      <c r="B51" s="43"/>
      <c r="C51" s="43"/>
      <c r="D51" s="82"/>
      <c r="E51" s="43"/>
      <c r="F51" s="78"/>
      <c r="G51" s="94"/>
    </row>
    <row r="52" spans="1:7">
      <c r="A52" s="77"/>
      <c r="B52" s="43"/>
      <c r="C52" s="43"/>
      <c r="D52" s="82"/>
      <c r="E52" s="43"/>
      <c r="F52" s="78"/>
      <c r="G52" s="94"/>
    </row>
    <row r="53" spans="1:7">
      <c r="A53" s="77"/>
      <c r="B53" s="43"/>
      <c r="C53" s="43"/>
      <c r="D53" s="82"/>
      <c r="E53" s="43"/>
      <c r="F53" s="78"/>
      <c r="G53" s="94"/>
    </row>
    <row r="54" spans="1:7">
      <c r="A54" s="77"/>
      <c r="B54" s="43"/>
      <c r="C54" s="43"/>
      <c r="D54" s="82"/>
      <c r="E54" s="43"/>
      <c r="F54" s="78"/>
      <c r="G54" s="94"/>
    </row>
    <row r="55" spans="1:7">
      <c r="A55" s="77"/>
      <c r="B55" s="43"/>
      <c r="C55" s="43"/>
      <c r="D55" s="82"/>
      <c r="E55" s="43"/>
      <c r="F55" s="78"/>
      <c r="G55" s="94"/>
    </row>
    <row r="56" spans="1:7">
      <c r="A56" s="77"/>
      <c r="B56" s="43"/>
      <c r="C56" s="43"/>
      <c r="D56" s="82"/>
      <c r="E56" s="43"/>
      <c r="F56" s="78"/>
      <c r="G56" s="94"/>
    </row>
    <row r="57" spans="1:7">
      <c r="A57" s="77"/>
      <c r="B57" s="43"/>
      <c r="C57" s="43"/>
      <c r="D57" s="82"/>
      <c r="E57" s="43"/>
      <c r="F57" s="78"/>
      <c r="G57" s="94"/>
    </row>
    <row r="58" spans="1:7">
      <c r="A58" s="77"/>
      <c r="B58" s="43"/>
      <c r="C58" s="43"/>
      <c r="D58" s="82"/>
      <c r="E58" s="43"/>
      <c r="F58" s="78"/>
      <c r="G58" s="94"/>
    </row>
    <row r="59" spans="1:7">
      <c r="A59" s="77"/>
      <c r="B59" s="43"/>
      <c r="C59" s="43"/>
      <c r="D59" s="82"/>
      <c r="E59" s="43"/>
      <c r="F59" s="78"/>
      <c r="G59" s="94"/>
    </row>
    <row r="60" spans="1:7">
      <c r="A60" s="77"/>
      <c r="B60" s="43"/>
      <c r="C60" s="43"/>
      <c r="D60" s="82"/>
      <c r="E60" s="43"/>
      <c r="F60" s="78"/>
      <c r="G60" s="94"/>
    </row>
    <row r="61" spans="1:7">
      <c r="A61" s="77"/>
      <c r="B61" s="43"/>
      <c r="C61" s="43"/>
      <c r="D61" s="82"/>
      <c r="E61" s="43"/>
      <c r="F61" s="78"/>
      <c r="G61" s="94"/>
    </row>
    <row r="62" spans="1:7">
      <c r="A62" s="77"/>
      <c r="B62" s="43"/>
      <c r="C62" s="43"/>
      <c r="D62" s="82"/>
      <c r="E62" s="43"/>
      <c r="F62" s="78"/>
      <c r="G62" s="94"/>
    </row>
    <row r="63" spans="1:7">
      <c r="A63" s="77"/>
      <c r="B63" s="43"/>
      <c r="C63" s="43"/>
      <c r="D63" s="82"/>
      <c r="E63" s="43"/>
      <c r="F63" s="78"/>
      <c r="G63" s="94"/>
    </row>
    <row r="64" spans="1:7">
      <c r="A64" s="77"/>
      <c r="B64" s="43"/>
      <c r="C64" s="43"/>
      <c r="D64" s="82"/>
      <c r="E64" s="43"/>
      <c r="F64" s="78"/>
      <c r="G64" s="94"/>
    </row>
    <row r="65" spans="1:7">
      <c r="A65" s="77"/>
      <c r="B65" s="43"/>
      <c r="C65" s="43"/>
      <c r="D65" s="82"/>
      <c r="E65" s="43"/>
      <c r="F65" s="78"/>
      <c r="G65" s="94"/>
    </row>
    <row r="66" spans="1:7">
      <c r="A66" s="77"/>
      <c r="B66" s="43"/>
      <c r="C66" s="43"/>
      <c r="D66" s="82"/>
      <c r="E66" s="43"/>
      <c r="F66" s="78"/>
      <c r="G66" s="94"/>
    </row>
    <row r="67" spans="1:7">
      <c r="A67" s="77"/>
      <c r="B67" s="43"/>
      <c r="C67" s="43"/>
      <c r="D67" s="82"/>
      <c r="E67" s="43"/>
      <c r="F67" s="78"/>
      <c r="G67" s="94"/>
    </row>
    <row r="68" spans="1:7">
      <c r="A68" s="77"/>
      <c r="B68" s="43"/>
      <c r="C68" s="43"/>
      <c r="D68" s="82"/>
      <c r="E68" s="43"/>
      <c r="F68" s="78"/>
      <c r="G68" s="94"/>
    </row>
    <row r="69" spans="1:7">
      <c r="A69" s="77"/>
      <c r="B69" s="43"/>
      <c r="C69" s="43"/>
      <c r="D69" s="82"/>
      <c r="E69" s="43"/>
      <c r="F69" s="78"/>
      <c r="G69" s="94"/>
    </row>
    <row r="70" spans="1:7">
      <c r="A70" s="77"/>
      <c r="B70" s="43"/>
      <c r="C70" s="43"/>
      <c r="D70" s="82"/>
      <c r="E70" s="43"/>
      <c r="F70" s="78"/>
      <c r="G70" s="94"/>
    </row>
    <row r="71" spans="1:7">
      <c r="A71" s="77"/>
      <c r="B71" s="43"/>
      <c r="C71" s="43"/>
      <c r="D71" s="82"/>
      <c r="E71" s="43"/>
      <c r="F71" s="78"/>
      <c r="G71" s="94"/>
    </row>
    <row r="72" spans="1:7">
      <c r="A72" s="77"/>
      <c r="B72" s="43"/>
      <c r="C72" s="43"/>
      <c r="D72" s="82"/>
      <c r="E72" s="43"/>
      <c r="F72" s="78"/>
      <c r="G72" s="94"/>
    </row>
    <row r="73" spans="1:7">
      <c r="A73" s="77"/>
      <c r="B73" s="43"/>
      <c r="C73" s="43"/>
      <c r="D73" s="82"/>
      <c r="E73" s="43"/>
      <c r="F73" s="78"/>
      <c r="G73" s="94"/>
    </row>
    <row r="74" spans="1:7">
      <c r="A74" s="77"/>
      <c r="B74" s="43"/>
      <c r="C74" s="43"/>
      <c r="D74" s="82"/>
      <c r="E74" s="43"/>
      <c r="F74" s="78"/>
      <c r="G74" s="94"/>
    </row>
    <row r="75" spans="1:7">
      <c r="A75" s="77"/>
      <c r="B75" s="43"/>
      <c r="C75" s="43"/>
      <c r="D75" s="82"/>
      <c r="E75" s="43"/>
      <c r="F75" s="78"/>
      <c r="G75" s="94"/>
    </row>
    <row r="76" spans="1:7">
      <c r="A76" s="77"/>
      <c r="B76" s="43"/>
      <c r="C76" s="43"/>
      <c r="D76" s="82"/>
      <c r="E76" s="43"/>
      <c r="F76" s="78"/>
      <c r="G76" s="94"/>
    </row>
    <row r="77" spans="1:7">
      <c r="A77" s="77"/>
      <c r="B77" s="43"/>
      <c r="C77" s="43"/>
      <c r="D77" s="82"/>
      <c r="E77" s="43"/>
      <c r="F77" s="78"/>
      <c r="G77" s="94"/>
    </row>
    <row r="78" spans="1:7">
      <c r="A78" s="77"/>
      <c r="B78" s="43"/>
      <c r="C78" s="43"/>
      <c r="D78" s="82"/>
      <c r="E78" s="43"/>
      <c r="F78" s="78"/>
      <c r="G78" s="94"/>
    </row>
    <row r="79" spans="1:7">
      <c r="A79" s="77"/>
      <c r="B79" s="43"/>
      <c r="C79" s="43"/>
      <c r="D79" s="82"/>
      <c r="E79" s="43"/>
      <c r="F79" s="78"/>
      <c r="G79" s="94"/>
    </row>
    <row r="80" spans="1:7">
      <c r="A80" s="77"/>
      <c r="B80" s="43"/>
      <c r="C80" s="43"/>
      <c r="D80" s="82"/>
      <c r="E80" s="43"/>
      <c r="F80" s="78"/>
      <c r="G80" s="94"/>
    </row>
    <row r="81" spans="1:7">
      <c r="A81" s="77"/>
      <c r="B81" s="43"/>
      <c r="C81" s="43"/>
      <c r="D81" s="82"/>
      <c r="E81" s="43"/>
      <c r="F81" s="78"/>
      <c r="G81" s="94"/>
    </row>
    <row r="82" spans="1:7">
      <c r="A82" s="77"/>
      <c r="B82" s="43"/>
      <c r="C82" s="43"/>
      <c r="D82" s="82"/>
      <c r="E82" s="43"/>
      <c r="F82" s="78"/>
      <c r="G82" s="94"/>
    </row>
    <row r="83" spans="1:7">
      <c r="A83" s="77"/>
      <c r="B83" s="43"/>
      <c r="C83" s="43"/>
      <c r="D83" s="82"/>
      <c r="E83" s="43"/>
      <c r="F83" s="78"/>
      <c r="G83" s="94"/>
    </row>
    <row r="84" spans="1:7">
      <c r="A84" s="77"/>
      <c r="B84" s="43"/>
      <c r="C84" s="43"/>
      <c r="D84" s="82"/>
      <c r="E84" s="43"/>
      <c r="F84" s="78"/>
      <c r="G84" s="94"/>
    </row>
    <row r="85" spans="1:7">
      <c r="A85" s="77"/>
      <c r="B85" s="43"/>
      <c r="C85" s="43"/>
      <c r="D85" s="82"/>
      <c r="E85" s="43"/>
      <c r="F85" s="78"/>
      <c r="G85" s="94"/>
    </row>
    <row r="86" spans="1:7">
      <c r="A86" s="77"/>
      <c r="B86" s="43"/>
      <c r="C86" s="43"/>
      <c r="D86" s="82"/>
      <c r="E86" s="43"/>
      <c r="F86" s="78"/>
      <c r="G86" s="94"/>
    </row>
    <row r="87" spans="1:7">
      <c r="A87" s="77"/>
      <c r="B87" s="43"/>
      <c r="C87" s="43"/>
      <c r="D87" s="82"/>
      <c r="E87" s="43"/>
      <c r="F87" s="78"/>
      <c r="G87" s="94"/>
    </row>
    <row r="88" spans="1:7">
      <c r="A88" s="77"/>
      <c r="B88" s="43"/>
      <c r="C88" s="43"/>
      <c r="D88" s="82"/>
      <c r="E88" s="43"/>
      <c r="F88" s="78"/>
      <c r="G88" s="94"/>
    </row>
    <row r="89" spans="1:7">
      <c r="A89" s="77"/>
      <c r="B89" s="43"/>
      <c r="C89" s="43"/>
      <c r="D89" s="82"/>
      <c r="E89" s="43"/>
      <c r="F89" s="78"/>
      <c r="G89" s="94"/>
    </row>
    <row r="90" spans="1:7">
      <c r="A90" s="77"/>
      <c r="B90" s="43"/>
      <c r="C90" s="43"/>
      <c r="D90" s="82"/>
      <c r="E90" s="43"/>
      <c r="F90" s="78"/>
      <c r="G90" s="94"/>
    </row>
    <row r="91" spans="1:7">
      <c r="A91" s="77"/>
      <c r="B91" s="43"/>
      <c r="C91" s="43"/>
      <c r="D91" s="82"/>
      <c r="E91" s="43"/>
      <c r="F91" s="78"/>
      <c r="G91" s="94"/>
    </row>
    <row r="92" spans="1:7">
      <c r="A92" s="77"/>
      <c r="B92" s="43"/>
      <c r="C92" s="43"/>
      <c r="D92" s="82"/>
      <c r="E92" s="43"/>
      <c r="F92" s="78"/>
      <c r="G92" s="94"/>
    </row>
    <row r="93" spans="1:7">
      <c r="A93" s="77"/>
      <c r="B93" s="43"/>
      <c r="C93" s="43"/>
      <c r="D93" s="82"/>
      <c r="E93" s="43"/>
      <c r="F93" s="78"/>
      <c r="G93" s="94"/>
    </row>
    <row r="94" spans="1:7">
      <c r="A94" s="77"/>
      <c r="B94" s="43"/>
      <c r="C94" s="43"/>
      <c r="D94" s="82"/>
      <c r="E94" s="43"/>
      <c r="F94" s="78"/>
      <c r="G94" s="94"/>
    </row>
    <row r="95" spans="1:7">
      <c r="A95" s="77"/>
      <c r="B95" s="43"/>
      <c r="C95" s="43"/>
      <c r="D95" s="82"/>
      <c r="E95" s="43"/>
      <c r="F95" s="78"/>
      <c r="G95" s="94"/>
    </row>
    <row r="96" spans="1:7">
      <c r="A96" s="77"/>
      <c r="B96" s="43"/>
      <c r="C96" s="43"/>
      <c r="D96" s="82"/>
      <c r="E96" s="43"/>
      <c r="F96" s="78"/>
      <c r="G96" s="94"/>
    </row>
    <row r="97" spans="1:7">
      <c r="A97" s="77"/>
      <c r="B97" s="43"/>
      <c r="C97" s="43"/>
      <c r="D97" s="82"/>
      <c r="E97" s="43"/>
      <c r="F97" s="78"/>
      <c r="G97" s="94"/>
    </row>
    <row r="98" spans="1:7">
      <c r="A98" s="77"/>
      <c r="B98" s="43"/>
      <c r="C98" s="43"/>
      <c r="D98" s="82"/>
      <c r="E98" s="43"/>
      <c r="F98" s="78"/>
      <c r="G98" s="94"/>
    </row>
    <row r="99" spans="1:7">
      <c r="A99" s="77"/>
      <c r="B99" s="43"/>
      <c r="C99" s="43"/>
      <c r="D99" s="82"/>
      <c r="E99" s="43"/>
      <c r="F99" s="78"/>
      <c r="G99" s="94"/>
    </row>
    <row r="100" spans="1:7">
      <c r="A100" s="77"/>
      <c r="B100" s="43"/>
      <c r="C100" s="43"/>
      <c r="D100" s="82"/>
      <c r="E100" s="43"/>
      <c r="F100" s="78"/>
      <c r="G100" s="94"/>
    </row>
    <row r="101" spans="1:7">
      <c r="A101" s="77"/>
      <c r="B101" s="43"/>
      <c r="C101" s="43"/>
      <c r="D101" s="82"/>
      <c r="E101" s="43"/>
      <c r="F101" s="78"/>
      <c r="G101" s="94"/>
    </row>
    <row r="102" spans="1:7">
      <c r="A102" s="77"/>
      <c r="B102" s="43"/>
      <c r="C102" s="43"/>
      <c r="D102" s="82"/>
      <c r="E102" s="43"/>
      <c r="F102" s="78"/>
      <c r="G102" s="94"/>
    </row>
    <row r="103" spans="1:7">
      <c r="A103" s="77"/>
      <c r="B103" s="43"/>
      <c r="C103" s="43"/>
      <c r="D103" s="82"/>
      <c r="E103" s="43"/>
      <c r="F103" s="78"/>
      <c r="G103" s="94"/>
    </row>
    <row r="104" spans="1:7">
      <c r="A104" s="77"/>
      <c r="B104" s="43"/>
      <c r="C104" s="43"/>
      <c r="D104" s="82"/>
      <c r="E104" s="43"/>
      <c r="F104" s="78"/>
      <c r="G104" s="94"/>
    </row>
    <row r="105" spans="1:7">
      <c r="A105" s="77"/>
      <c r="B105" s="43"/>
      <c r="C105" s="43"/>
      <c r="D105" s="82"/>
      <c r="E105" s="43"/>
      <c r="F105" s="78"/>
      <c r="G105" s="94"/>
    </row>
    <row r="106" spans="1:7">
      <c r="A106" s="79"/>
      <c r="B106" s="44"/>
      <c r="C106" s="44"/>
      <c r="D106" s="83"/>
      <c r="E106" s="44"/>
      <c r="F106" s="64"/>
      <c r="G106" s="94"/>
    </row>
    <row r="107" spans="1:7">
      <c r="A107" s="79"/>
      <c r="B107" s="44"/>
      <c r="C107" s="44"/>
      <c r="D107" s="83"/>
      <c r="E107" s="44"/>
      <c r="F107" s="64"/>
      <c r="G107" s="94"/>
    </row>
    <row r="108" spans="1:7">
      <c r="A108" s="79"/>
      <c r="B108" s="44"/>
      <c r="C108" s="44"/>
      <c r="D108" s="83"/>
      <c r="E108" s="44"/>
      <c r="F108" s="64"/>
      <c r="G108" s="94"/>
    </row>
    <row r="109" spans="1:7">
      <c r="A109" s="79"/>
      <c r="B109" s="44"/>
      <c r="C109" s="44"/>
      <c r="D109" s="83"/>
      <c r="E109" s="44"/>
      <c r="F109" s="64"/>
      <c r="G109" s="94"/>
    </row>
    <row r="110" spans="1:7">
      <c r="A110" s="79"/>
      <c r="B110" s="44"/>
      <c r="C110" s="44"/>
      <c r="D110" s="83"/>
      <c r="E110" s="44"/>
      <c r="F110" s="64"/>
      <c r="G110" s="94"/>
    </row>
    <row r="111" spans="1:7">
      <c r="A111" s="79"/>
      <c r="B111" s="44"/>
      <c r="C111" s="44"/>
      <c r="D111" s="83"/>
      <c r="E111" s="44"/>
      <c r="F111" s="64"/>
      <c r="G111" s="94"/>
    </row>
    <row r="112" spans="1:7">
      <c r="A112" s="79"/>
      <c r="B112" s="44"/>
      <c r="C112" s="44"/>
      <c r="D112" s="83"/>
      <c r="E112" s="44"/>
      <c r="F112" s="64"/>
      <c r="G112" s="94"/>
    </row>
    <row r="113" spans="1:7">
      <c r="A113" s="79"/>
      <c r="B113" s="44"/>
      <c r="C113" s="44"/>
      <c r="D113" s="83"/>
      <c r="E113" s="44"/>
      <c r="F113" s="64"/>
      <c r="G113" s="94"/>
    </row>
    <row r="114" spans="1:7">
      <c r="A114" s="79"/>
      <c r="B114" s="44"/>
      <c r="C114" s="44"/>
      <c r="D114" s="83"/>
      <c r="E114" s="44"/>
      <c r="F114" s="64"/>
      <c r="G114" s="94"/>
    </row>
    <row r="115" spans="1:7">
      <c r="A115" s="79"/>
      <c r="B115" s="44"/>
      <c r="C115" s="44"/>
      <c r="D115" s="83"/>
      <c r="E115" s="44"/>
      <c r="F115" s="64"/>
      <c r="G115" s="94"/>
    </row>
    <row r="116" spans="1:7">
      <c r="A116" s="79"/>
      <c r="B116" s="44"/>
      <c r="C116" s="44"/>
      <c r="D116" s="83"/>
      <c r="E116" s="44"/>
      <c r="F116" s="64"/>
      <c r="G116" s="94"/>
    </row>
    <row r="117" spans="1:7">
      <c r="A117" s="79"/>
      <c r="B117" s="44"/>
      <c r="C117" s="44"/>
      <c r="D117" s="83"/>
      <c r="E117" s="44"/>
      <c r="F117" s="64"/>
      <c r="G117" s="94"/>
    </row>
    <row r="118" spans="1:7">
      <c r="A118" s="79"/>
      <c r="B118" s="44"/>
      <c r="C118" s="44"/>
      <c r="D118" s="83"/>
      <c r="E118" s="44"/>
      <c r="F118" s="64"/>
      <c r="G118" s="94"/>
    </row>
    <row r="119" spans="1:7">
      <c r="A119" s="79"/>
      <c r="B119" s="44"/>
      <c r="C119" s="44"/>
      <c r="D119" s="83"/>
      <c r="E119" s="44"/>
      <c r="F119" s="64"/>
      <c r="G119" s="94"/>
    </row>
    <row r="120" spans="1:7">
      <c r="A120" s="79"/>
      <c r="B120" s="44"/>
      <c r="C120" s="44"/>
      <c r="D120" s="83"/>
      <c r="E120" s="44"/>
      <c r="F120" s="64"/>
      <c r="G120" s="94"/>
    </row>
    <row r="121" spans="1:7">
      <c r="A121" s="79"/>
      <c r="B121" s="44"/>
      <c r="C121" s="44"/>
      <c r="D121" s="83"/>
      <c r="E121" s="44"/>
      <c r="F121" s="64"/>
      <c r="G121" s="94"/>
    </row>
    <row r="122" spans="1:7">
      <c r="A122" s="79"/>
      <c r="B122" s="44"/>
      <c r="C122" s="44"/>
      <c r="D122" s="83"/>
      <c r="E122" s="44"/>
      <c r="F122" s="64"/>
      <c r="G122" s="94"/>
    </row>
    <row r="123" spans="1:7">
      <c r="A123" s="79"/>
      <c r="B123" s="44"/>
      <c r="C123" s="44"/>
      <c r="D123" s="83"/>
      <c r="E123" s="44"/>
      <c r="F123" s="64"/>
      <c r="G123" s="94"/>
    </row>
    <row r="124" spans="1:7">
      <c r="A124" s="79"/>
      <c r="B124" s="44"/>
      <c r="C124" s="44"/>
      <c r="D124" s="83"/>
      <c r="E124" s="44"/>
      <c r="F124" s="64"/>
      <c r="G124" s="94"/>
    </row>
    <row r="125" spans="1:7">
      <c r="A125" s="79"/>
      <c r="B125" s="44"/>
      <c r="C125" s="44"/>
      <c r="D125" s="83"/>
      <c r="E125" s="44"/>
      <c r="F125" s="64"/>
      <c r="G125" s="94"/>
    </row>
    <row r="126" spans="1:7">
      <c r="A126" s="79"/>
      <c r="B126" s="44"/>
      <c r="C126" s="44"/>
      <c r="D126" s="83"/>
      <c r="E126" s="44"/>
      <c r="F126" s="64"/>
      <c r="G126" s="94"/>
    </row>
    <row r="127" spans="1:7">
      <c r="A127" s="79"/>
      <c r="B127" s="44"/>
      <c r="C127" s="44"/>
      <c r="D127" s="83"/>
      <c r="E127" s="44"/>
      <c r="F127" s="64"/>
      <c r="G127" s="94"/>
    </row>
    <row r="128" spans="1:7">
      <c r="A128" s="79"/>
      <c r="B128" s="44"/>
      <c r="C128" s="44"/>
      <c r="D128" s="83"/>
      <c r="E128" s="44"/>
      <c r="F128" s="64"/>
      <c r="G128" s="94"/>
    </row>
    <row r="129" spans="1:7">
      <c r="A129" s="79"/>
      <c r="B129" s="44"/>
      <c r="C129" s="44"/>
      <c r="D129" s="83"/>
      <c r="E129" s="44"/>
      <c r="F129" s="64"/>
      <c r="G129" s="94"/>
    </row>
    <row r="130" spans="1:7">
      <c r="A130" s="79"/>
      <c r="B130" s="44"/>
      <c r="C130" s="44"/>
      <c r="D130" s="83"/>
      <c r="E130" s="44"/>
      <c r="F130" s="64"/>
      <c r="G130" s="94"/>
    </row>
    <row r="131" spans="1:7">
      <c r="A131" s="79"/>
      <c r="B131" s="44"/>
      <c r="C131" s="44"/>
      <c r="D131" s="83"/>
      <c r="E131" s="44"/>
      <c r="F131" s="64"/>
      <c r="G131" s="94"/>
    </row>
    <row r="132" spans="1:7">
      <c r="A132" s="79"/>
      <c r="B132" s="44"/>
      <c r="C132" s="44"/>
      <c r="D132" s="83"/>
      <c r="E132" s="44"/>
      <c r="F132" s="64"/>
      <c r="G132" s="94"/>
    </row>
    <row r="133" spans="1:7">
      <c r="A133" s="79"/>
      <c r="B133" s="44"/>
      <c r="C133" s="44"/>
      <c r="D133" s="83"/>
      <c r="E133" s="44"/>
      <c r="F133" s="64"/>
      <c r="G133" s="94"/>
    </row>
    <row r="134" spans="1:7">
      <c r="A134" s="79"/>
      <c r="B134" s="44"/>
      <c r="C134" s="44"/>
      <c r="D134" s="83"/>
      <c r="E134" s="44"/>
      <c r="F134" s="64"/>
      <c r="G134" s="94"/>
    </row>
    <row r="135" spans="1:7">
      <c r="A135" s="79"/>
      <c r="B135" s="44"/>
      <c r="C135" s="44"/>
      <c r="D135" s="83"/>
      <c r="E135" s="44"/>
      <c r="F135" s="64"/>
      <c r="G135" s="94"/>
    </row>
    <row r="136" spans="1:7">
      <c r="A136" s="79"/>
      <c r="B136" s="44"/>
      <c r="C136" s="44"/>
      <c r="D136" s="83"/>
      <c r="E136" s="44"/>
      <c r="F136" s="64"/>
      <c r="G136" s="94"/>
    </row>
    <row r="137" spans="1:7">
      <c r="A137" s="79"/>
      <c r="B137" s="44"/>
      <c r="C137" s="44"/>
      <c r="D137" s="83"/>
      <c r="E137" s="44"/>
      <c r="F137" s="64"/>
      <c r="G137" s="94"/>
    </row>
    <row r="138" spans="1:7">
      <c r="A138" s="79"/>
      <c r="B138" s="44"/>
      <c r="C138" s="44"/>
      <c r="D138" s="83"/>
      <c r="E138" s="44"/>
      <c r="F138" s="64"/>
      <c r="G138" s="94"/>
    </row>
    <row r="139" spans="1:7">
      <c r="A139" s="79"/>
      <c r="B139" s="44"/>
      <c r="C139" s="44"/>
      <c r="D139" s="83"/>
      <c r="E139" s="44"/>
      <c r="F139" s="64"/>
      <c r="G139" s="94"/>
    </row>
    <row r="140" spans="1:7">
      <c r="A140" s="79"/>
      <c r="B140" s="44"/>
      <c r="C140" s="44"/>
      <c r="D140" s="83"/>
      <c r="E140" s="44"/>
      <c r="F140" s="64"/>
      <c r="G140" s="94"/>
    </row>
    <row r="141" spans="1:7">
      <c r="A141" s="79"/>
      <c r="B141" s="44"/>
      <c r="C141" s="44"/>
      <c r="D141" s="83"/>
      <c r="E141" s="44"/>
      <c r="F141" s="64"/>
      <c r="G141" s="94"/>
    </row>
    <row r="142" spans="1:7">
      <c r="A142" s="79"/>
      <c r="B142" s="44"/>
      <c r="C142" s="44"/>
      <c r="D142" s="83"/>
      <c r="E142" s="44"/>
      <c r="F142" s="64"/>
      <c r="G142" s="94"/>
    </row>
    <row r="143" spans="1:7">
      <c r="A143" s="79"/>
      <c r="B143" s="44"/>
      <c r="C143" s="44"/>
      <c r="D143" s="83"/>
      <c r="E143" s="44"/>
      <c r="F143" s="64"/>
      <c r="G143" s="94"/>
    </row>
    <row r="144" spans="1:7">
      <c r="A144" s="79"/>
      <c r="B144" s="44"/>
      <c r="C144" s="44"/>
      <c r="D144" s="83"/>
      <c r="E144" s="44"/>
      <c r="F144" s="64"/>
      <c r="G144" s="94"/>
    </row>
    <row r="145" spans="1:7">
      <c r="A145" s="79"/>
      <c r="B145" s="44"/>
      <c r="C145" s="44"/>
      <c r="D145" s="83"/>
      <c r="E145" s="44"/>
      <c r="F145" s="64"/>
      <c r="G145" s="94"/>
    </row>
    <row r="146" spans="1:7">
      <c r="A146" s="79"/>
      <c r="B146" s="44"/>
      <c r="C146" s="44"/>
      <c r="D146" s="83"/>
      <c r="E146" s="44"/>
      <c r="F146" s="64"/>
      <c r="G146" s="94"/>
    </row>
    <row r="147" spans="1:7">
      <c r="A147" s="79"/>
      <c r="B147" s="44"/>
      <c r="C147" s="44"/>
      <c r="D147" s="83"/>
      <c r="E147" s="44"/>
      <c r="F147" s="64"/>
      <c r="G147" s="94"/>
    </row>
    <row r="148" spans="1:7">
      <c r="A148" s="79"/>
      <c r="B148" s="44"/>
      <c r="C148" s="44"/>
      <c r="D148" s="83"/>
      <c r="E148" s="44"/>
      <c r="F148" s="64"/>
      <c r="G148" s="94"/>
    </row>
    <row r="149" spans="1:7">
      <c r="A149" s="79"/>
      <c r="B149" s="44"/>
      <c r="C149" s="44"/>
      <c r="D149" s="83"/>
      <c r="E149" s="44"/>
      <c r="F149" s="64"/>
      <c r="G149" s="94"/>
    </row>
    <row r="150" spans="1:7">
      <c r="A150" s="79"/>
      <c r="B150" s="44"/>
      <c r="C150" s="44"/>
      <c r="D150" s="83"/>
      <c r="E150" s="44"/>
      <c r="F150" s="64"/>
      <c r="G150" s="94"/>
    </row>
    <row r="151" spans="1:7">
      <c r="A151" s="79"/>
      <c r="B151" s="44"/>
      <c r="C151" s="44"/>
      <c r="D151" s="83"/>
      <c r="E151" s="44"/>
      <c r="F151" s="64"/>
      <c r="G151" s="94"/>
    </row>
    <row r="152" spans="1:7">
      <c r="A152" s="79"/>
      <c r="B152" s="44"/>
      <c r="C152" s="44"/>
      <c r="D152" s="83"/>
      <c r="E152" s="44"/>
      <c r="F152" s="64"/>
      <c r="G152" s="94"/>
    </row>
    <row r="153" spans="1:7">
      <c r="A153" s="79"/>
      <c r="B153" s="44"/>
      <c r="C153" s="44"/>
      <c r="D153" s="83"/>
      <c r="E153" s="44"/>
      <c r="F153" s="64"/>
      <c r="G153" s="94"/>
    </row>
    <row r="154" spans="1:7">
      <c r="A154" s="79"/>
      <c r="B154" s="44"/>
      <c r="C154" s="44"/>
      <c r="D154" s="83"/>
      <c r="E154" s="44"/>
      <c r="F154" s="64"/>
      <c r="G154" s="94"/>
    </row>
    <row r="155" spans="1:7">
      <c r="A155" s="79"/>
      <c r="B155" s="44"/>
      <c r="C155" s="44"/>
      <c r="D155" s="83"/>
      <c r="E155" s="44"/>
      <c r="F155" s="64"/>
      <c r="G155" s="94"/>
    </row>
    <row r="156" spans="1:7">
      <c r="A156" s="79"/>
      <c r="B156" s="44"/>
      <c r="C156" s="44"/>
      <c r="D156" s="83"/>
      <c r="E156" s="44"/>
      <c r="F156" s="64"/>
      <c r="G156" s="94"/>
    </row>
    <row r="157" spans="1:7">
      <c r="A157" s="79"/>
      <c r="B157" s="44"/>
      <c r="C157" s="44"/>
      <c r="D157" s="83"/>
      <c r="E157" s="44"/>
      <c r="F157" s="64"/>
      <c r="G157" s="94"/>
    </row>
    <row r="158" spans="1:7">
      <c r="A158" s="79"/>
      <c r="B158" s="44"/>
      <c r="C158" s="44"/>
      <c r="D158" s="83"/>
      <c r="E158" s="44"/>
      <c r="F158" s="64"/>
      <c r="G158" s="94"/>
    </row>
    <row r="159" spans="1:7">
      <c r="A159" s="79"/>
      <c r="B159" s="44"/>
      <c r="C159" s="44"/>
      <c r="D159" s="83"/>
      <c r="E159" s="44"/>
      <c r="F159" s="64"/>
      <c r="G159" s="94"/>
    </row>
    <row r="160" spans="1:7">
      <c r="A160" s="79"/>
      <c r="B160" s="44"/>
      <c r="C160" s="44"/>
      <c r="D160" s="83"/>
      <c r="E160" s="44"/>
      <c r="F160" s="64"/>
      <c r="G160" s="94"/>
    </row>
    <row r="161" spans="1:7">
      <c r="A161" s="79"/>
      <c r="B161" s="44"/>
      <c r="C161" s="44"/>
      <c r="D161" s="83"/>
      <c r="E161" s="44"/>
      <c r="F161" s="64"/>
      <c r="G161" s="94"/>
    </row>
    <row r="162" spans="1:7">
      <c r="A162" s="79"/>
      <c r="B162" s="44"/>
      <c r="C162" s="44"/>
      <c r="D162" s="83"/>
      <c r="E162" s="44"/>
      <c r="F162" s="64"/>
      <c r="G162" s="94"/>
    </row>
    <row r="163" spans="1:7">
      <c r="A163" s="79"/>
      <c r="B163" s="44"/>
      <c r="C163" s="44"/>
      <c r="D163" s="83"/>
      <c r="E163" s="44"/>
      <c r="F163" s="64"/>
      <c r="G163" s="94"/>
    </row>
    <row r="164" spans="1:7">
      <c r="A164" s="79"/>
      <c r="B164" s="44"/>
      <c r="C164" s="44"/>
      <c r="D164" s="83"/>
      <c r="E164" s="44"/>
      <c r="F164" s="64"/>
      <c r="G164" s="94"/>
    </row>
    <row r="165" spans="1:7">
      <c r="A165" s="79"/>
      <c r="B165" s="44"/>
      <c r="C165" s="44"/>
      <c r="D165" s="83"/>
      <c r="E165" s="44"/>
      <c r="F165" s="64"/>
      <c r="G165" s="94"/>
    </row>
    <row r="166" spans="1:7">
      <c r="A166" s="79"/>
      <c r="B166" s="44"/>
      <c r="C166" s="44"/>
      <c r="D166" s="83"/>
      <c r="E166" s="44"/>
      <c r="F166" s="64"/>
      <c r="G166" s="94"/>
    </row>
    <row r="167" spans="1:7">
      <c r="A167" s="79"/>
      <c r="B167" s="44"/>
      <c r="C167" s="44"/>
      <c r="D167" s="83"/>
      <c r="E167" s="44"/>
      <c r="F167" s="64"/>
      <c r="G167" s="94"/>
    </row>
    <row r="168" spans="1:7">
      <c r="A168" s="79"/>
      <c r="B168" s="44"/>
      <c r="C168" s="44"/>
      <c r="D168" s="83"/>
      <c r="E168" s="44"/>
      <c r="F168" s="64"/>
      <c r="G168" s="94"/>
    </row>
    <row r="169" spans="1:7">
      <c r="A169" s="79"/>
      <c r="B169" s="44"/>
      <c r="C169" s="44"/>
      <c r="D169" s="83"/>
      <c r="E169" s="44"/>
      <c r="F169" s="64"/>
      <c r="G169" s="94"/>
    </row>
    <row r="170" spans="1:7">
      <c r="A170" s="79"/>
      <c r="B170" s="44"/>
      <c r="C170" s="44"/>
      <c r="D170" s="83"/>
      <c r="E170" s="44"/>
      <c r="F170" s="64"/>
      <c r="G170" s="94"/>
    </row>
    <row r="171" spans="1:7">
      <c r="A171" s="79"/>
      <c r="B171" s="44"/>
      <c r="C171" s="44"/>
      <c r="D171" s="83"/>
      <c r="E171" s="44"/>
      <c r="F171" s="64"/>
      <c r="G171" s="94"/>
    </row>
    <row r="172" spans="1:7">
      <c r="A172" s="79"/>
      <c r="B172" s="44"/>
      <c r="C172" s="44"/>
      <c r="D172" s="83"/>
      <c r="E172" s="44"/>
      <c r="F172" s="64"/>
      <c r="G172" s="94"/>
    </row>
    <row r="173" spans="1:7">
      <c r="A173" s="79"/>
      <c r="B173" s="44"/>
      <c r="C173" s="44"/>
      <c r="D173" s="83"/>
      <c r="E173" s="44"/>
      <c r="F173" s="64"/>
      <c r="G173" s="94"/>
    </row>
    <row r="174" spans="1:7">
      <c r="A174" s="79"/>
      <c r="B174" s="44"/>
      <c r="C174" s="44"/>
      <c r="D174" s="83"/>
      <c r="E174" s="44"/>
      <c r="F174" s="64"/>
      <c r="G174" s="94"/>
    </row>
    <row r="175" spans="1:7">
      <c r="A175" s="79"/>
      <c r="B175" s="44"/>
      <c r="C175" s="44"/>
      <c r="D175" s="83"/>
      <c r="E175" s="44"/>
      <c r="F175" s="64"/>
      <c r="G175" s="94"/>
    </row>
    <row r="176" spans="1:7">
      <c r="A176" s="79"/>
      <c r="B176" s="44"/>
      <c r="C176" s="44"/>
      <c r="D176" s="83"/>
      <c r="E176" s="44"/>
      <c r="F176" s="64"/>
      <c r="G176" s="94"/>
    </row>
    <row r="177" spans="1:7">
      <c r="A177" s="79"/>
      <c r="B177" s="44"/>
      <c r="C177" s="44"/>
      <c r="D177" s="83"/>
      <c r="E177" s="44"/>
      <c r="F177" s="64"/>
      <c r="G177" s="94"/>
    </row>
    <row r="178" spans="1:7">
      <c r="A178" s="79"/>
      <c r="B178" s="44"/>
      <c r="C178" s="44"/>
      <c r="D178" s="83"/>
      <c r="E178" s="44"/>
      <c r="F178" s="64"/>
      <c r="G178" s="94"/>
    </row>
    <row r="179" spans="1:7">
      <c r="A179" s="79"/>
      <c r="B179" s="44"/>
      <c r="C179" s="44"/>
      <c r="D179" s="83"/>
      <c r="E179" s="44"/>
      <c r="F179" s="64"/>
      <c r="G179" s="94"/>
    </row>
    <row r="180" spans="1:7">
      <c r="A180" s="79"/>
      <c r="B180" s="44"/>
      <c r="C180" s="44"/>
      <c r="D180" s="83"/>
      <c r="E180" s="44"/>
      <c r="F180" s="64"/>
      <c r="G180" s="94"/>
    </row>
    <row r="181" spans="1:7">
      <c r="A181" s="79"/>
      <c r="B181" s="44"/>
      <c r="C181" s="44"/>
      <c r="D181" s="83"/>
      <c r="E181" s="44"/>
      <c r="F181" s="64"/>
      <c r="G181" s="94"/>
    </row>
    <row r="182" spans="1:7">
      <c r="A182" s="79"/>
      <c r="B182" s="44"/>
      <c r="C182" s="44"/>
      <c r="D182" s="83"/>
      <c r="E182" s="44"/>
      <c r="F182" s="64"/>
      <c r="G182" s="94"/>
    </row>
    <row r="183" spans="1:7">
      <c r="A183" s="79"/>
      <c r="B183" s="44"/>
      <c r="C183" s="44"/>
      <c r="D183" s="83"/>
      <c r="E183" s="44"/>
      <c r="F183" s="64"/>
      <c r="G183" s="94"/>
    </row>
    <row r="184" spans="1:7">
      <c r="A184" s="79"/>
      <c r="B184" s="44"/>
      <c r="C184" s="44"/>
      <c r="D184" s="83"/>
      <c r="E184" s="44"/>
      <c r="F184" s="64"/>
      <c r="G184" s="94"/>
    </row>
    <row r="185" spans="1:7">
      <c r="A185" s="79"/>
      <c r="B185" s="44"/>
      <c r="C185" s="44"/>
      <c r="D185" s="83"/>
      <c r="E185" s="44"/>
      <c r="F185" s="64"/>
      <c r="G185" s="94"/>
    </row>
    <row r="186" spans="1:7">
      <c r="A186" s="79"/>
      <c r="B186" s="44"/>
      <c r="C186" s="44"/>
      <c r="D186" s="83"/>
      <c r="E186" s="44"/>
      <c r="F186" s="64"/>
      <c r="G186" s="94"/>
    </row>
    <row r="187" spans="1:7">
      <c r="A187" s="79"/>
      <c r="B187" s="44"/>
      <c r="C187" s="44"/>
      <c r="D187" s="83"/>
      <c r="E187" s="44"/>
      <c r="F187" s="64"/>
      <c r="G187" s="94"/>
    </row>
    <row r="188" spans="1:7">
      <c r="A188" s="79"/>
      <c r="B188" s="44"/>
      <c r="C188" s="44"/>
      <c r="D188" s="83"/>
      <c r="E188" s="44"/>
      <c r="F188" s="64"/>
      <c r="G188" s="94"/>
    </row>
    <row r="189" spans="1:7">
      <c r="A189" s="79"/>
      <c r="B189" s="44"/>
      <c r="C189" s="44"/>
      <c r="D189" s="83"/>
      <c r="E189" s="44"/>
      <c r="F189" s="64"/>
      <c r="G189" s="94"/>
    </row>
    <row r="190" spans="1:7">
      <c r="A190" s="79"/>
      <c r="B190" s="44"/>
      <c r="C190" s="44"/>
      <c r="D190" s="83"/>
      <c r="E190" s="44"/>
      <c r="F190" s="64"/>
      <c r="G190" s="94"/>
    </row>
    <row r="191" spans="1:7">
      <c r="A191" s="79"/>
      <c r="B191" s="44"/>
      <c r="C191" s="44"/>
      <c r="D191" s="83"/>
      <c r="E191" s="44"/>
      <c r="F191" s="64"/>
      <c r="G191" s="94"/>
    </row>
    <row r="192" spans="1:7">
      <c r="A192" s="79"/>
      <c r="B192" s="44"/>
      <c r="C192" s="44"/>
      <c r="D192" s="83"/>
      <c r="E192" s="44"/>
      <c r="F192" s="64"/>
      <c r="G192" s="94"/>
    </row>
    <row r="193" spans="1:7">
      <c r="A193" s="79"/>
      <c r="B193" s="44"/>
      <c r="C193" s="44"/>
      <c r="D193" s="83"/>
      <c r="E193" s="44"/>
      <c r="F193" s="64"/>
      <c r="G193" s="94"/>
    </row>
    <row r="194" spans="1:7">
      <c r="A194" s="79"/>
      <c r="B194" s="44"/>
      <c r="C194" s="44"/>
      <c r="D194" s="83"/>
      <c r="E194" s="44"/>
      <c r="F194" s="64"/>
      <c r="G194" s="94"/>
    </row>
    <row r="195" spans="1:7">
      <c r="A195" s="79"/>
      <c r="B195" s="44"/>
      <c r="C195" s="44"/>
      <c r="D195" s="83"/>
      <c r="E195" s="44"/>
      <c r="F195" s="64"/>
      <c r="G195" s="94"/>
    </row>
    <row r="196" spans="1:7">
      <c r="A196" s="79"/>
      <c r="B196" s="44"/>
      <c r="C196" s="44"/>
      <c r="D196" s="83"/>
      <c r="E196" s="44"/>
      <c r="F196" s="64"/>
      <c r="G196" s="94"/>
    </row>
    <row r="197" spans="1:7">
      <c r="A197" s="79"/>
      <c r="B197" s="44"/>
      <c r="C197" s="44"/>
      <c r="D197" s="83"/>
      <c r="E197" s="44"/>
      <c r="F197" s="64"/>
      <c r="G197" s="94"/>
    </row>
    <row r="198" spans="1:7">
      <c r="A198" s="79"/>
      <c r="B198" s="44"/>
      <c r="C198" s="44"/>
      <c r="D198" s="83"/>
      <c r="E198" s="44"/>
      <c r="F198" s="64"/>
      <c r="G198" s="94"/>
    </row>
    <row r="199" spans="1:7">
      <c r="A199" s="79"/>
      <c r="B199" s="44"/>
      <c r="C199" s="44"/>
      <c r="D199" s="83"/>
      <c r="E199" s="44"/>
      <c r="F199" s="64"/>
      <c r="G199" s="94"/>
    </row>
    <row r="200" spans="1:7">
      <c r="A200" s="79"/>
      <c r="B200" s="44"/>
      <c r="C200" s="44"/>
      <c r="D200" s="83"/>
      <c r="E200" s="44"/>
      <c r="F200" s="64"/>
      <c r="G200" s="94"/>
    </row>
    <row r="201" spans="1:7">
      <c r="A201" s="79"/>
      <c r="B201" s="44"/>
      <c r="C201" s="44"/>
      <c r="D201" s="83"/>
      <c r="E201" s="44"/>
      <c r="F201" s="64"/>
      <c r="G201" s="94"/>
    </row>
    <row r="202" spans="1:7">
      <c r="A202" s="79"/>
      <c r="B202" s="44"/>
      <c r="C202" s="44"/>
      <c r="D202" s="83"/>
      <c r="E202" s="44"/>
      <c r="F202" s="64"/>
      <c r="G202" s="94"/>
    </row>
    <row r="203" spans="1:7">
      <c r="A203" s="79"/>
      <c r="B203" s="44"/>
      <c r="C203" s="44"/>
      <c r="D203" s="83"/>
      <c r="E203" s="44"/>
      <c r="F203" s="64"/>
      <c r="G203" s="94"/>
    </row>
    <row r="204" spans="1:7">
      <c r="A204" s="79"/>
      <c r="B204" s="44"/>
      <c r="C204" s="44"/>
      <c r="D204" s="83"/>
      <c r="E204" s="44"/>
      <c r="F204" s="64"/>
      <c r="G204" s="94"/>
    </row>
    <row r="205" spans="1:7">
      <c r="A205" s="79"/>
      <c r="B205" s="44"/>
      <c r="C205" s="44"/>
      <c r="D205" s="83"/>
      <c r="E205" s="44"/>
      <c r="F205" s="64"/>
      <c r="G205" s="94"/>
    </row>
    <row r="206" spans="1:7">
      <c r="A206" s="79"/>
      <c r="B206" s="44"/>
      <c r="C206" s="44"/>
      <c r="D206" s="83"/>
      <c r="E206" s="44"/>
      <c r="F206" s="64"/>
      <c r="G206" s="94"/>
    </row>
    <row r="207" spans="1:7">
      <c r="A207" s="79"/>
      <c r="B207" s="44"/>
      <c r="C207" s="44"/>
      <c r="D207" s="83"/>
      <c r="E207" s="44"/>
      <c r="F207" s="64"/>
      <c r="G207" s="94"/>
    </row>
    <row r="208" spans="1:7">
      <c r="A208" s="79"/>
      <c r="B208" s="44"/>
      <c r="C208" s="44"/>
      <c r="D208" s="83"/>
      <c r="E208" s="44"/>
      <c r="F208" s="64"/>
      <c r="G208" s="94"/>
    </row>
    <row r="209" spans="1:7">
      <c r="A209" s="79"/>
      <c r="B209" s="44"/>
      <c r="C209" s="44"/>
      <c r="D209" s="83"/>
      <c r="E209" s="44"/>
      <c r="F209" s="64"/>
      <c r="G209" s="94"/>
    </row>
    <row r="210" spans="1:7">
      <c r="A210" s="79"/>
      <c r="B210" s="44"/>
      <c r="C210" s="44"/>
      <c r="D210" s="83"/>
      <c r="E210" s="44"/>
      <c r="F210" s="64"/>
      <c r="G210" s="94"/>
    </row>
    <row r="211" spans="1:7">
      <c r="A211" s="79"/>
      <c r="B211" s="44"/>
      <c r="C211" s="44"/>
      <c r="D211" s="83"/>
      <c r="E211" s="44"/>
      <c r="F211" s="64"/>
      <c r="G211" s="94"/>
    </row>
    <row r="212" spans="1:7">
      <c r="A212" s="79"/>
      <c r="B212" s="44"/>
      <c r="C212" s="44"/>
      <c r="D212" s="83"/>
      <c r="E212" s="44"/>
      <c r="F212" s="64"/>
      <c r="G212" s="94"/>
    </row>
    <row r="213" spans="1:7">
      <c r="A213" s="79"/>
      <c r="B213" s="44"/>
      <c r="C213" s="44"/>
      <c r="D213" s="83"/>
      <c r="E213" s="44"/>
      <c r="F213" s="64"/>
      <c r="G213" s="94"/>
    </row>
    <row r="214" spans="1:7">
      <c r="A214" s="79"/>
      <c r="B214" s="44"/>
      <c r="C214" s="44"/>
      <c r="D214" s="83"/>
      <c r="E214" s="44"/>
      <c r="F214" s="64"/>
      <c r="G214" s="94"/>
    </row>
    <row r="215" spans="1:7">
      <c r="A215" s="79"/>
      <c r="B215" s="44"/>
      <c r="C215" s="44"/>
      <c r="D215" s="83"/>
      <c r="E215" s="44"/>
      <c r="F215" s="64"/>
      <c r="G215" s="94"/>
    </row>
    <row r="216" spans="1:7">
      <c r="A216" s="79"/>
      <c r="B216" s="44"/>
      <c r="C216" s="44"/>
      <c r="D216" s="83"/>
      <c r="E216" s="44"/>
      <c r="F216" s="64"/>
      <c r="G216" s="94"/>
    </row>
    <row r="217" spans="1:7">
      <c r="A217" s="79"/>
      <c r="B217" s="44"/>
      <c r="C217" s="44"/>
      <c r="D217" s="83"/>
      <c r="E217" s="44"/>
      <c r="F217" s="64"/>
      <c r="G217" s="94"/>
    </row>
    <row r="218" spans="1:7">
      <c r="A218" s="79"/>
      <c r="B218" s="44"/>
      <c r="C218" s="44"/>
      <c r="D218" s="83"/>
      <c r="E218" s="44"/>
      <c r="F218" s="64"/>
      <c r="G218" s="94"/>
    </row>
    <row r="219" spans="1:7">
      <c r="A219" s="79"/>
      <c r="B219" s="44"/>
      <c r="C219" s="44"/>
      <c r="D219" s="83"/>
      <c r="E219" s="44"/>
      <c r="F219" s="64"/>
      <c r="G219" s="94"/>
    </row>
    <row r="220" spans="1:7">
      <c r="A220" s="79"/>
      <c r="B220" s="44"/>
      <c r="C220" s="44"/>
      <c r="D220" s="83"/>
      <c r="E220" s="44"/>
      <c r="F220" s="64"/>
      <c r="G220" s="94"/>
    </row>
    <row r="221" spans="1:7">
      <c r="A221" s="79"/>
      <c r="B221" s="44"/>
      <c r="C221" s="44"/>
      <c r="D221" s="83"/>
      <c r="E221" s="44"/>
      <c r="F221" s="64"/>
      <c r="G221" s="94"/>
    </row>
    <row r="222" spans="1:7">
      <c r="A222" s="79"/>
      <c r="B222" s="44"/>
      <c r="C222" s="44"/>
      <c r="D222" s="83"/>
      <c r="E222" s="44"/>
      <c r="F222" s="64"/>
      <c r="G222" s="94"/>
    </row>
    <row r="223" spans="1:7">
      <c r="A223" s="79"/>
      <c r="B223" s="44"/>
      <c r="C223" s="44"/>
      <c r="D223" s="83"/>
      <c r="E223" s="44"/>
      <c r="F223" s="64"/>
      <c r="G223" s="94"/>
    </row>
    <row r="224" spans="1:7">
      <c r="A224" s="79"/>
      <c r="B224" s="44"/>
      <c r="C224" s="44"/>
      <c r="D224" s="83"/>
      <c r="E224" s="44"/>
      <c r="F224" s="64"/>
      <c r="G224" s="94"/>
    </row>
    <row r="225" spans="1:7">
      <c r="A225" s="79"/>
      <c r="B225" s="44"/>
      <c r="C225" s="44"/>
      <c r="D225" s="83"/>
      <c r="E225" s="44"/>
      <c r="F225" s="64"/>
      <c r="G225" s="94"/>
    </row>
    <row r="226" spans="1:7">
      <c r="A226" s="79"/>
      <c r="B226" s="44"/>
      <c r="C226" s="44"/>
      <c r="D226" s="83"/>
      <c r="E226" s="44"/>
      <c r="F226" s="64"/>
      <c r="G226" s="94"/>
    </row>
    <row r="227" spans="1:7">
      <c r="A227" s="79"/>
      <c r="B227" s="44"/>
      <c r="C227" s="44"/>
      <c r="D227" s="83"/>
      <c r="E227" s="44"/>
      <c r="F227" s="64"/>
      <c r="G227" s="94"/>
    </row>
    <row r="228" spans="1:7">
      <c r="A228" s="79"/>
      <c r="B228" s="44"/>
      <c r="C228" s="44"/>
      <c r="D228" s="83"/>
      <c r="E228" s="44"/>
      <c r="F228" s="64"/>
      <c r="G228" s="94"/>
    </row>
    <row r="229" spans="1:7">
      <c r="A229" s="79"/>
      <c r="B229" s="44"/>
      <c r="C229" s="44"/>
      <c r="D229" s="83"/>
      <c r="E229" s="44"/>
      <c r="F229" s="64"/>
      <c r="G229" s="94"/>
    </row>
    <row r="230" spans="1:7">
      <c r="A230" s="79"/>
      <c r="B230" s="44"/>
      <c r="C230" s="44"/>
      <c r="D230" s="83"/>
      <c r="E230" s="44"/>
      <c r="F230" s="64"/>
      <c r="G230" s="94"/>
    </row>
    <row r="231" spans="1:7">
      <c r="A231" s="79"/>
      <c r="B231" s="44"/>
      <c r="C231" s="44"/>
      <c r="D231" s="83"/>
      <c r="E231" s="44"/>
      <c r="F231" s="64"/>
      <c r="G231" s="94"/>
    </row>
    <row r="232" spans="1:7">
      <c r="A232" s="79"/>
      <c r="B232" s="44"/>
      <c r="C232" s="44"/>
      <c r="D232" s="83"/>
      <c r="E232" s="44"/>
      <c r="F232" s="64"/>
      <c r="G232" s="94"/>
    </row>
    <row r="233" spans="1:7">
      <c r="A233" s="79"/>
      <c r="B233" s="44"/>
      <c r="C233" s="44"/>
      <c r="D233" s="83"/>
      <c r="E233" s="44"/>
      <c r="F233" s="64"/>
      <c r="G233" s="94"/>
    </row>
    <row r="234" spans="1:7">
      <c r="A234" s="79"/>
      <c r="B234" s="44"/>
      <c r="C234" s="44"/>
      <c r="D234" s="83"/>
      <c r="E234" s="44"/>
      <c r="F234" s="64"/>
      <c r="G234" s="94"/>
    </row>
    <row r="235" spans="1:7">
      <c r="A235" s="79"/>
      <c r="B235" s="44"/>
      <c r="C235" s="44"/>
      <c r="D235" s="83"/>
      <c r="E235" s="44"/>
      <c r="F235" s="64"/>
      <c r="G235" s="94"/>
    </row>
    <row r="236" spans="1:7">
      <c r="A236" s="79"/>
      <c r="B236" s="44"/>
      <c r="C236" s="44"/>
      <c r="D236" s="83"/>
      <c r="E236" s="44"/>
      <c r="F236" s="64"/>
      <c r="G236" s="94"/>
    </row>
    <row r="237" spans="1:7">
      <c r="A237" s="79"/>
      <c r="B237" s="44"/>
      <c r="C237" s="44"/>
      <c r="D237" s="83"/>
      <c r="E237" s="44"/>
      <c r="F237" s="64"/>
      <c r="G237" s="94"/>
    </row>
    <row r="238" spans="1:7">
      <c r="A238" s="79"/>
      <c r="B238" s="44"/>
      <c r="C238" s="44"/>
      <c r="D238" s="83"/>
      <c r="E238" s="44"/>
      <c r="F238" s="64"/>
      <c r="G238" s="94"/>
    </row>
    <row r="239" spans="1:7">
      <c r="A239" s="79"/>
      <c r="B239" s="44"/>
      <c r="C239" s="44"/>
      <c r="D239" s="83"/>
      <c r="E239" s="44"/>
      <c r="F239" s="64"/>
      <c r="G239" s="94"/>
    </row>
    <row r="240" spans="1:7">
      <c r="A240" s="79"/>
      <c r="B240" s="44"/>
      <c r="C240" s="44"/>
      <c r="D240" s="83"/>
      <c r="E240" s="44"/>
      <c r="F240" s="64"/>
      <c r="G240" s="94"/>
    </row>
    <row r="241" spans="1:7">
      <c r="A241" s="79"/>
      <c r="B241" s="44"/>
      <c r="C241" s="44"/>
      <c r="D241" s="83"/>
      <c r="E241" s="44"/>
      <c r="F241" s="64"/>
      <c r="G241" s="94"/>
    </row>
    <row r="242" spans="1:7">
      <c r="A242" s="79"/>
      <c r="B242" s="44"/>
      <c r="C242" s="44"/>
      <c r="D242" s="83"/>
      <c r="E242" s="44"/>
      <c r="F242" s="64"/>
      <c r="G242" s="94"/>
    </row>
    <row r="243" spans="1:7">
      <c r="A243" s="79"/>
      <c r="B243" s="44"/>
      <c r="C243" s="44"/>
      <c r="D243" s="83"/>
      <c r="E243" s="44"/>
      <c r="F243" s="64"/>
      <c r="G243" s="94"/>
    </row>
    <row r="244" spans="1:7">
      <c r="A244" s="79"/>
      <c r="B244" s="44"/>
      <c r="C244" s="44"/>
      <c r="D244" s="83"/>
      <c r="E244" s="44"/>
      <c r="F244" s="64"/>
      <c r="G244" s="94"/>
    </row>
    <row r="245" spans="1:7">
      <c r="A245" s="79"/>
      <c r="B245" s="44"/>
      <c r="C245" s="44"/>
      <c r="D245" s="83"/>
      <c r="E245" s="44"/>
      <c r="F245" s="64"/>
      <c r="G245" s="94"/>
    </row>
    <row r="246" spans="1:7">
      <c r="A246" s="79"/>
      <c r="B246" s="44"/>
      <c r="C246" s="44"/>
      <c r="D246" s="83"/>
      <c r="E246" s="44"/>
      <c r="F246" s="64"/>
      <c r="G246" s="94"/>
    </row>
    <row r="247" spans="1:7">
      <c r="A247" s="79"/>
      <c r="B247" s="44"/>
      <c r="C247" s="44"/>
      <c r="D247" s="83"/>
      <c r="E247" s="44"/>
      <c r="F247" s="64"/>
      <c r="G247" s="94"/>
    </row>
    <row r="248" spans="1:7">
      <c r="A248" s="79"/>
      <c r="B248" s="44"/>
      <c r="C248" s="44"/>
      <c r="D248" s="83"/>
      <c r="E248" s="44"/>
      <c r="F248" s="64"/>
      <c r="G248" s="94"/>
    </row>
    <row r="249" spans="1:7">
      <c r="A249" s="79"/>
      <c r="B249" s="44"/>
      <c r="C249" s="44"/>
      <c r="D249" s="83"/>
      <c r="E249" s="44"/>
      <c r="F249" s="64"/>
      <c r="G249" s="94"/>
    </row>
    <row r="250" spans="1:7">
      <c r="A250" s="79"/>
      <c r="B250" s="44"/>
      <c r="C250" s="44"/>
      <c r="D250" s="83"/>
      <c r="E250" s="44"/>
      <c r="F250" s="64"/>
      <c r="G250" s="94"/>
    </row>
    <row r="251" spans="1:7">
      <c r="A251" s="79"/>
      <c r="B251" s="44"/>
      <c r="C251" s="44"/>
      <c r="D251" s="83"/>
      <c r="E251" s="44"/>
      <c r="F251" s="64"/>
      <c r="G251" s="94"/>
    </row>
    <row r="252" spans="1:7">
      <c r="A252" s="79"/>
      <c r="B252" s="44"/>
      <c r="C252" s="44"/>
      <c r="D252" s="83"/>
      <c r="E252" s="44"/>
      <c r="F252" s="64"/>
      <c r="G252" s="94"/>
    </row>
    <row r="253" spans="1:7">
      <c r="A253" s="79"/>
      <c r="B253" s="44"/>
      <c r="C253" s="44"/>
      <c r="D253" s="83"/>
      <c r="E253" s="44"/>
      <c r="F253" s="64"/>
      <c r="G253" s="94"/>
    </row>
    <row r="254" spans="1:7">
      <c r="A254" s="79"/>
      <c r="B254" s="44"/>
      <c r="C254" s="44"/>
      <c r="D254" s="83"/>
      <c r="E254" s="44"/>
      <c r="F254" s="64"/>
      <c r="G254" s="94"/>
    </row>
    <row r="255" spans="1:7">
      <c r="A255" s="79"/>
      <c r="B255" s="44"/>
      <c r="C255" s="44"/>
      <c r="D255" s="83"/>
      <c r="E255" s="44"/>
      <c r="F255" s="64"/>
      <c r="G255" s="94"/>
    </row>
    <row r="256" spans="1:7">
      <c r="A256" s="79"/>
      <c r="B256" s="44"/>
      <c r="C256" s="44"/>
      <c r="D256" s="83"/>
      <c r="E256" s="44"/>
      <c r="F256" s="64"/>
      <c r="G256" s="94"/>
    </row>
    <row r="257" spans="1:7">
      <c r="A257" s="79"/>
      <c r="B257" s="44"/>
      <c r="C257" s="44"/>
      <c r="D257" s="83"/>
      <c r="E257" s="44"/>
      <c r="F257" s="64"/>
      <c r="G257" s="94"/>
    </row>
    <row r="258" spans="1:7">
      <c r="A258" s="79"/>
      <c r="B258" s="44"/>
      <c r="C258" s="44"/>
      <c r="D258" s="83"/>
      <c r="E258" s="44"/>
      <c r="F258" s="64"/>
      <c r="G258" s="94"/>
    </row>
    <row r="259" spans="1:7">
      <c r="A259" s="79"/>
      <c r="B259" s="44"/>
      <c r="C259" s="44"/>
      <c r="D259" s="83"/>
      <c r="E259" s="44"/>
      <c r="F259" s="64"/>
      <c r="G259" s="94"/>
    </row>
    <row r="260" spans="1:7">
      <c r="A260" s="79"/>
      <c r="B260" s="44"/>
      <c r="C260" s="44"/>
      <c r="D260" s="83"/>
      <c r="E260" s="44"/>
      <c r="F260" s="64"/>
      <c r="G260" s="94"/>
    </row>
    <row r="261" spans="1:7">
      <c r="A261" s="79"/>
      <c r="B261" s="44"/>
      <c r="C261" s="44"/>
      <c r="D261" s="83"/>
      <c r="E261" s="44"/>
      <c r="F261" s="64"/>
      <c r="G261" s="94"/>
    </row>
    <row r="262" spans="1:7">
      <c r="A262" s="79"/>
      <c r="B262" s="44"/>
      <c r="C262" s="44"/>
      <c r="D262" s="83"/>
      <c r="E262" s="44"/>
      <c r="F262" s="64"/>
      <c r="G262" s="94"/>
    </row>
    <row r="263" spans="1:7">
      <c r="A263" s="79"/>
      <c r="B263" s="44"/>
      <c r="C263" s="44"/>
      <c r="D263" s="83"/>
      <c r="E263" s="44"/>
      <c r="F263" s="64"/>
      <c r="G263" s="94"/>
    </row>
    <row r="264" spans="1:7">
      <c r="A264" s="79"/>
      <c r="B264" s="44"/>
      <c r="C264" s="44"/>
      <c r="D264" s="83"/>
      <c r="E264" s="44"/>
      <c r="F264" s="64"/>
      <c r="G264" s="94"/>
    </row>
    <row r="265" spans="1:7">
      <c r="A265" s="79"/>
      <c r="B265" s="44"/>
      <c r="C265" s="44"/>
      <c r="D265" s="83"/>
      <c r="E265" s="44"/>
      <c r="F265" s="64"/>
      <c r="G265" s="94"/>
    </row>
    <row r="266" spans="1:7">
      <c r="A266" s="79"/>
      <c r="B266" s="44"/>
      <c r="C266" s="44"/>
      <c r="D266" s="83"/>
      <c r="E266" s="44"/>
      <c r="F266" s="64"/>
      <c r="G266" s="94"/>
    </row>
    <row r="267" spans="1:7">
      <c r="A267" s="79"/>
      <c r="B267" s="44"/>
      <c r="C267" s="44"/>
      <c r="D267" s="83"/>
      <c r="E267" s="44"/>
      <c r="F267" s="64"/>
      <c r="G267" s="94"/>
    </row>
    <row r="268" spans="1:7">
      <c r="A268" s="79"/>
      <c r="B268" s="44"/>
      <c r="C268" s="44"/>
      <c r="D268" s="83"/>
      <c r="E268" s="44"/>
      <c r="F268" s="64"/>
      <c r="G268" s="94"/>
    </row>
    <row r="269" spans="1:7">
      <c r="A269" s="79"/>
      <c r="B269" s="44"/>
      <c r="C269" s="44"/>
      <c r="D269" s="83"/>
      <c r="E269" s="44"/>
      <c r="F269" s="64"/>
      <c r="G269" s="94"/>
    </row>
    <row r="270" spans="1:7">
      <c r="A270" s="79"/>
      <c r="B270" s="44"/>
      <c r="C270" s="44"/>
      <c r="D270" s="83"/>
      <c r="E270" s="44"/>
      <c r="F270" s="64"/>
      <c r="G270" s="94"/>
    </row>
    <row r="271" spans="1:7">
      <c r="A271" s="79"/>
      <c r="B271" s="44"/>
      <c r="C271" s="44"/>
      <c r="D271" s="83"/>
      <c r="E271" s="44"/>
      <c r="F271" s="64"/>
      <c r="G271" s="94"/>
    </row>
    <row r="272" spans="1:7">
      <c r="A272" s="79"/>
      <c r="B272" s="44"/>
      <c r="C272" s="44"/>
      <c r="D272" s="83"/>
      <c r="E272" s="44"/>
      <c r="F272" s="64"/>
      <c r="G272" s="94"/>
    </row>
    <row r="273" spans="1:7">
      <c r="A273" s="79"/>
      <c r="B273" s="44"/>
      <c r="C273" s="44"/>
      <c r="D273" s="83"/>
      <c r="E273" s="44"/>
      <c r="F273" s="64"/>
      <c r="G273" s="94"/>
    </row>
    <row r="274" spans="1:7">
      <c r="A274" s="79"/>
      <c r="B274" s="44"/>
      <c r="C274" s="44"/>
      <c r="D274" s="83"/>
      <c r="E274" s="44"/>
      <c r="F274" s="64"/>
      <c r="G274" s="94"/>
    </row>
    <row r="275" spans="1:7">
      <c r="A275" s="79"/>
      <c r="B275" s="44"/>
      <c r="C275" s="44"/>
      <c r="D275" s="83"/>
      <c r="E275" s="44"/>
      <c r="F275" s="64"/>
      <c r="G275" s="94"/>
    </row>
    <row r="276" spans="1:7">
      <c r="A276" s="79"/>
      <c r="B276" s="44"/>
      <c r="C276" s="44"/>
      <c r="D276" s="83"/>
      <c r="E276" s="44"/>
      <c r="F276" s="64"/>
      <c r="G276" s="94"/>
    </row>
    <row r="277" spans="1:7">
      <c r="A277" s="79"/>
      <c r="B277" s="44"/>
      <c r="C277" s="44"/>
      <c r="D277" s="83"/>
      <c r="E277" s="44"/>
      <c r="F277" s="64"/>
      <c r="G277" s="94"/>
    </row>
    <row r="278" spans="1:7">
      <c r="A278" s="79"/>
      <c r="B278" s="44"/>
      <c r="C278" s="44"/>
      <c r="D278" s="83"/>
      <c r="E278" s="44"/>
      <c r="F278" s="64"/>
      <c r="G278" s="94"/>
    </row>
    <row r="279" spans="1:7">
      <c r="A279" s="79"/>
      <c r="B279" s="44"/>
      <c r="C279" s="44"/>
      <c r="D279" s="83"/>
      <c r="E279" s="44"/>
      <c r="F279" s="64"/>
      <c r="G279" s="94"/>
    </row>
    <row r="280" spans="1:7">
      <c r="A280" s="79"/>
      <c r="B280" s="44"/>
      <c r="C280" s="44"/>
      <c r="D280" s="83"/>
      <c r="E280" s="44"/>
      <c r="F280" s="64"/>
      <c r="G280" s="94"/>
    </row>
    <row r="281" spans="1:7">
      <c r="A281" s="79"/>
      <c r="B281" s="44"/>
      <c r="C281" s="44"/>
      <c r="D281" s="83"/>
      <c r="E281" s="44"/>
      <c r="F281" s="64"/>
      <c r="G281" s="94"/>
    </row>
    <row r="282" spans="1:7">
      <c r="A282" s="79"/>
      <c r="B282" s="44"/>
      <c r="C282" s="44"/>
      <c r="D282" s="83"/>
      <c r="E282" s="44"/>
      <c r="F282" s="64"/>
      <c r="G282" s="94"/>
    </row>
    <row r="283" spans="1:7">
      <c r="A283" s="79"/>
      <c r="B283" s="44"/>
      <c r="C283" s="44"/>
      <c r="D283" s="83"/>
      <c r="E283" s="44"/>
      <c r="F283" s="64"/>
      <c r="G283" s="94"/>
    </row>
    <row r="284" spans="1:7">
      <c r="A284" s="79"/>
      <c r="B284" s="44"/>
      <c r="C284" s="44"/>
      <c r="D284" s="83"/>
      <c r="E284" s="44"/>
      <c r="F284" s="64"/>
      <c r="G284" s="94"/>
    </row>
    <row r="285" spans="1:7">
      <c r="A285" s="79"/>
      <c r="B285" s="44"/>
      <c r="C285" s="44"/>
      <c r="D285" s="83"/>
      <c r="E285" s="44"/>
      <c r="F285" s="64"/>
      <c r="G285" s="94"/>
    </row>
    <row r="286" spans="1:7">
      <c r="A286" s="79"/>
      <c r="B286" s="44"/>
      <c r="C286" s="44"/>
      <c r="D286" s="83"/>
      <c r="E286" s="44"/>
      <c r="F286" s="64"/>
      <c r="G286" s="94"/>
    </row>
    <row r="287" spans="1:7">
      <c r="A287" s="79"/>
      <c r="B287" s="44"/>
      <c r="C287" s="44"/>
      <c r="D287" s="83"/>
      <c r="E287" s="44"/>
      <c r="F287" s="64"/>
      <c r="G287" s="94"/>
    </row>
    <row r="288" spans="1:7">
      <c r="A288" s="79"/>
      <c r="B288" s="44"/>
      <c r="C288" s="44"/>
      <c r="D288" s="83"/>
      <c r="E288" s="44"/>
      <c r="F288" s="64"/>
      <c r="G288" s="94"/>
    </row>
    <row r="289" spans="1:7">
      <c r="A289" s="79"/>
      <c r="B289" s="44"/>
      <c r="C289" s="44"/>
      <c r="D289" s="83"/>
      <c r="E289" s="44"/>
      <c r="F289" s="64"/>
      <c r="G289" s="94"/>
    </row>
    <row r="290" spans="1:7">
      <c r="A290" s="79"/>
      <c r="B290" s="44"/>
      <c r="C290" s="44"/>
      <c r="D290" s="83"/>
      <c r="E290" s="44"/>
      <c r="F290" s="64"/>
      <c r="G290" s="94"/>
    </row>
    <row r="291" spans="1:7">
      <c r="A291" s="79"/>
      <c r="B291" s="44"/>
      <c r="C291" s="44"/>
      <c r="D291" s="83"/>
      <c r="E291" s="44"/>
      <c r="F291" s="64"/>
      <c r="G291" s="94"/>
    </row>
    <row r="292" spans="1:7">
      <c r="A292" s="79"/>
      <c r="B292" s="44"/>
      <c r="C292" s="44"/>
      <c r="D292" s="83"/>
      <c r="E292" s="44"/>
      <c r="F292" s="64"/>
      <c r="G292" s="94"/>
    </row>
    <row r="293" spans="1:7">
      <c r="A293" s="79"/>
      <c r="B293" s="44"/>
      <c r="C293" s="44"/>
      <c r="D293" s="83"/>
      <c r="E293" s="44"/>
      <c r="F293" s="64"/>
      <c r="G293" s="94"/>
    </row>
    <row r="294" spans="1:7">
      <c r="A294" s="79"/>
      <c r="B294" s="44"/>
      <c r="C294" s="44"/>
      <c r="D294" s="83"/>
      <c r="E294" s="44"/>
      <c r="F294" s="64"/>
      <c r="G294" s="94"/>
    </row>
    <row r="295" spans="1:7">
      <c r="A295" s="79"/>
      <c r="B295" s="44"/>
      <c r="C295" s="44"/>
      <c r="D295" s="83"/>
      <c r="E295" s="44"/>
      <c r="F295" s="64"/>
      <c r="G295" s="94"/>
    </row>
    <row r="296" spans="1:7">
      <c r="A296" s="79"/>
      <c r="B296" s="44"/>
      <c r="C296" s="44"/>
      <c r="D296" s="83"/>
      <c r="E296" s="44"/>
      <c r="F296" s="64"/>
      <c r="G296" s="94"/>
    </row>
    <row r="297" spans="1:7">
      <c r="A297" s="79"/>
      <c r="B297" s="44"/>
      <c r="C297" s="44"/>
      <c r="D297" s="83"/>
      <c r="E297" s="44"/>
      <c r="F297" s="64"/>
      <c r="G297" s="94"/>
    </row>
    <row r="298" spans="1:7">
      <c r="A298" s="79"/>
      <c r="B298" s="44"/>
      <c r="C298" s="44"/>
      <c r="D298" s="83"/>
      <c r="E298" s="44"/>
      <c r="F298" s="64"/>
      <c r="G298" s="94"/>
    </row>
    <row r="299" spans="1:7">
      <c r="A299" s="79"/>
      <c r="B299" s="44"/>
      <c r="C299" s="44"/>
      <c r="D299" s="83"/>
      <c r="E299" s="44"/>
      <c r="F299" s="64"/>
      <c r="G299" s="94"/>
    </row>
    <row r="300" spans="1:7">
      <c r="A300" s="79"/>
      <c r="B300" s="44"/>
      <c r="C300" s="44"/>
      <c r="D300" s="83"/>
      <c r="E300" s="44"/>
      <c r="F300" s="64"/>
      <c r="G300" s="94"/>
    </row>
    <row r="301" spans="1:7">
      <c r="A301" s="79"/>
      <c r="B301" s="44"/>
      <c r="C301" s="44"/>
      <c r="D301" s="83"/>
      <c r="E301" s="44"/>
      <c r="F301" s="64"/>
      <c r="G301" s="94"/>
    </row>
    <row r="302" spans="1:7">
      <c r="A302" s="79"/>
      <c r="B302" s="44"/>
      <c r="C302" s="44"/>
      <c r="D302" s="83"/>
      <c r="E302" s="44"/>
      <c r="F302" s="64"/>
      <c r="G302" s="94"/>
    </row>
    <row r="303" spans="1:7">
      <c r="A303" s="79"/>
      <c r="B303" s="44"/>
      <c r="C303" s="44"/>
      <c r="D303" s="83"/>
      <c r="E303" s="44"/>
      <c r="F303" s="64"/>
      <c r="G303" s="94"/>
    </row>
    <row r="304" spans="1:7">
      <c r="A304" s="79"/>
      <c r="B304" s="44"/>
      <c r="C304" s="44"/>
      <c r="D304" s="83"/>
      <c r="E304" s="44"/>
      <c r="F304" s="64"/>
      <c r="G304" s="94"/>
    </row>
    <row r="305" spans="1:7">
      <c r="A305" s="80"/>
      <c r="B305" s="66"/>
      <c r="C305" s="66"/>
      <c r="D305" s="84"/>
      <c r="E305" s="66"/>
      <c r="F305" s="73"/>
      <c r="G305" s="94"/>
    </row>
  </sheetData>
  <mergeCells count="2">
    <mergeCell ref="A1:F1"/>
    <mergeCell ref="A3:F3"/>
  </mergeCells>
  <dataValidations count="3">
    <dataValidation type="list" sqref="B6:B105" xr:uid="{00000000-0002-0000-0300-000000000000}">
      <formula1>"Água,Luz,IPTU,Condomínio,Seguro,Internet,Piscina,Jardinagem,Manutenção geral,Investimento,Reposição,Taxas,Outro"</formula1>
    </dataValidation>
    <dataValidation type="list" allowBlank="1" showInputMessage="1" showErrorMessage="1" errorTitle="ID inválido" error="Selecione um ID existente na lista de reservas." promptTitle="Vincular à locação" prompt="Selecione o ID da reserva quando esta despesa pertencer a uma locação. Em branco = despesa geral." sqref="E6:E305" xr:uid="{00000000-0002-0000-0300-000001000000}">
      <formula1>OFFSET(INDIRECT("RESERVAS!$A$6"),0,0,MAX(1,COUNTA(INDIRECT("RESERVAS!$B$6:$B$205"))),1)</formula1>
    </dataValidation>
    <dataValidation type="list" sqref="G6:G305" xr:uid="{00000000-0002-0000-0300-000002000000}">
      <formula1>"Casa Cinza,Casa Laranja"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activeCell="D6" sqref="D6"/>
    </sheetView>
  </sheetViews>
  <sheetFormatPr defaultRowHeight="14.25"/>
  <cols>
    <col min="1" max="1" width="20" customWidth="1"/>
    <col min="2" max="2" width="8" customWidth="1"/>
    <col min="4" max="4" width="28" customWidth="1"/>
    <col min="5" max="7" width="18" customWidth="1"/>
  </cols>
  <sheetData>
    <row r="1" spans="1:7" ht="24" customHeight="1">
      <c r="A1" s="120" t="s">
        <v>100</v>
      </c>
      <c r="B1" s="120"/>
      <c r="C1" s="120"/>
      <c r="D1" s="120"/>
    </row>
    <row r="3" spans="1:7" ht="24" customHeight="1">
      <c r="A3" s="2" t="s">
        <v>11</v>
      </c>
      <c r="B3" s="3" t="s">
        <v>101</v>
      </c>
      <c r="D3" s="2" t="s">
        <v>61</v>
      </c>
      <c r="E3" s="4" t="s">
        <v>62</v>
      </c>
      <c r="F3" s="3" t="s">
        <v>63</v>
      </c>
      <c r="G3" s="93" t="s">
        <v>118</v>
      </c>
    </row>
    <row r="4" spans="1:7">
      <c r="A4" t="s">
        <v>19</v>
      </c>
      <c r="B4">
        <v>1</v>
      </c>
      <c r="D4" t="s">
        <v>89</v>
      </c>
      <c r="E4" t="s">
        <v>102</v>
      </c>
      <c r="F4" t="s">
        <v>83</v>
      </c>
      <c r="G4" s="95" t="s">
        <v>119</v>
      </c>
    </row>
    <row r="5" spans="1:7">
      <c r="A5" t="s">
        <v>22</v>
      </c>
      <c r="B5">
        <v>2</v>
      </c>
      <c r="D5" t="s">
        <v>123</v>
      </c>
      <c r="E5" t="s">
        <v>103</v>
      </c>
      <c r="F5" t="s">
        <v>87</v>
      </c>
      <c r="G5" s="95" t="s">
        <v>120</v>
      </c>
    </row>
    <row r="6" spans="1:7">
      <c r="A6" t="s">
        <v>24</v>
      </c>
      <c r="B6">
        <v>3</v>
      </c>
      <c r="D6" t="s">
        <v>86</v>
      </c>
      <c r="E6" t="s">
        <v>82</v>
      </c>
      <c r="F6" t="s">
        <v>104</v>
      </c>
      <c r="G6" s="95"/>
    </row>
    <row r="7" spans="1:7">
      <c r="A7" t="s">
        <v>26</v>
      </c>
      <c r="B7">
        <v>4</v>
      </c>
      <c r="D7" t="s">
        <v>105</v>
      </c>
      <c r="E7" t="s">
        <v>106</v>
      </c>
      <c r="F7" t="s">
        <v>107</v>
      </c>
      <c r="G7" s="95"/>
    </row>
    <row r="8" spans="1:7">
      <c r="A8" t="s">
        <v>28</v>
      </c>
      <c r="B8">
        <v>5</v>
      </c>
      <c r="D8" t="s">
        <v>108</v>
      </c>
      <c r="E8" t="s">
        <v>109</v>
      </c>
      <c r="F8" t="s">
        <v>110</v>
      </c>
      <c r="G8" s="95"/>
    </row>
    <row r="9" spans="1:7">
      <c r="A9" t="s">
        <v>31</v>
      </c>
      <c r="B9">
        <v>6</v>
      </c>
      <c r="D9" t="s">
        <v>81</v>
      </c>
      <c r="F9" t="s">
        <v>90</v>
      </c>
    </row>
    <row r="10" spans="1:7">
      <c r="A10" t="s">
        <v>32</v>
      </c>
      <c r="B10">
        <v>7</v>
      </c>
      <c r="D10" t="s">
        <v>111</v>
      </c>
      <c r="F10" t="s">
        <v>112</v>
      </c>
    </row>
    <row r="11" spans="1:7">
      <c r="A11" t="s">
        <v>33</v>
      </c>
      <c r="B11">
        <v>8</v>
      </c>
      <c r="D11" t="s">
        <v>113</v>
      </c>
    </row>
    <row r="12" spans="1:7">
      <c r="A12" t="s">
        <v>34</v>
      </c>
      <c r="B12">
        <v>9</v>
      </c>
      <c r="D12" t="s">
        <v>114</v>
      </c>
    </row>
    <row r="13" spans="1:7">
      <c r="A13" t="s">
        <v>35</v>
      </c>
      <c r="B13">
        <v>10</v>
      </c>
      <c r="D13" t="s">
        <v>115</v>
      </c>
    </row>
    <row r="14" spans="1:7">
      <c r="A14" t="s">
        <v>36</v>
      </c>
      <c r="B14">
        <v>11</v>
      </c>
      <c r="D14" t="s">
        <v>116</v>
      </c>
    </row>
    <row r="15" spans="1:7">
      <c r="A15" t="s">
        <v>37</v>
      </c>
      <c r="B15">
        <v>12</v>
      </c>
      <c r="D15" t="s">
        <v>112</v>
      </c>
    </row>
  </sheetData>
  <mergeCells count="1">
    <mergeCell ref="A1:D1"/>
  </mergeCells>
  <dataValidations count="1">
    <dataValidation type="list" sqref="G3:G5" xr:uid="{00000000-0002-0000-0400-000000000000}">
      <formula1>"Casa Cinza,Casa Laranja"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87DC-C927-425E-93AA-07C94B888A68}">
  <dimension ref="B2:Z203"/>
  <sheetViews>
    <sheetView workbookViewId="0">
      <selection activeCell="M7" sqref="M7"/>
    </sheetView>
  </sheetViews>
  <sheetFormatPr defaultRowHeight="14.25"/>
  <cols>
    <col min="2" max="2" width="12.625" bestFit="1" customWidth="1"/>
    <col min="3" max="3" width="25.625" customWidth="1"/>
    <col min="4" max="4" width="11.75" bestFit="1" customWidth="1"/>
    <col min="5" max="5" width="19.375" bestFit="1" customWidth="1"/>
    <col min="6" max="6" width="31.25" bestFit="1" customWidth="1"/>
    <col min="7" max="7" width="30" customWidth="1"/>
    <col min="8" max="8" width="13.375" bestFit="1" customWidth="1"/>
    <col min="9" max="9" width="7.5" bestFit="1" customWidth="1"/>
    <col min="10" max="10" width="11.25" bestFit="1" customWidth="1"/>
    <col min="11" max="11" width="13.375" bestFit="1" customWidth="1"/>
    <col min="12" max="12" width="10.75" bestFit="1" customWidth="1"/>
    <col min="13" max="13" width="15.25" bestFit="1" customWidth="1"/>
    <col min="14" max="14" width="8.125" bestFit="1" customWidth="1"/>
    <col min="15" max="15" width="13.875" bestFit="1" customWidth="1"/>
    <col min="16" max="16" width="35.5" customWidth="1"/>
    <col min="18" max="18" width="27" bestFit="1" customWidth="1"/>
    <col min="19" max="19" width="11.75" bestFit="1" customWidth="1"/>
    <col min="20" max="20" width="15.25" bestFit="1" customWidth="1"/>
    <col min="22" max="22" width="8.375" bestFit="1" customWidth="1"/>
    <col min="23" max="23" width="11.25" bestFit="1" customWidth="1"/>
    <col min="24" max="24" width="13.375" bestFit="1" customWidth="1"/>
    <col min="25" max="25" width="10.75" bestFit="1" customWidth="1"/>
    <col min="26" max="26" width="15.25" bestFit="1" customWidth="1"/>
  </cols>
  <sheetData>
    <row r="2" spans="2:26" ht="16.5" thickBot="1">
      <c r="B2" s="100" t="s">
        <v>134</v>
      </c>
      <c r="C2" s="100" t="s">
        <v>136</v>
      </c>
      <c r="D2" s="100" t="s">
        <v>135</v>
      </c>
      <c r="E2" s="100" t="s">
        <v>154</v>
      </c>
      <c r="F2" s="104" t="s">
        <v>137</v>
      </c>
      <c r="G2" s="104"/>
      <c r="H2" s="104"/>
      <c r="I2" s="104"/>
      <c r="J2" s="104"/>
      <c r="K2" s="104"/>
      <c r="L2" s="104"/>
      <c r="M2" s="104"/>
      <c r="N2" s="104"/>
      <c r="O2" s="104"/>
      <c r="P2" s="104"/>
      <c r="R2" s="104" t="s">
        <v>145</v>
      </c>
      <c r="S2" s="104"/>
      <c r="T2" s="104"/>
      <c r="U2" s="104"/>
      <c r="V2" s="104"/>
      <c r="W2" s="104"/>
      <c r="X2" s="104"/>
      <c r="Y2" s="104"/>
      <c r="Z2" s="104"/>
    </row>
    <row r="3" spans="2:26" ht="16.5" thickTop="1" thickBot="1">
      <c r="B3" t="str" cm="1">
        <f t="array" ref="B3:D5">_xlfn._xlws.FILTER(CHOOSE({1,2,3},RESERVAS!A6:A203,RESERVAS!B6:B203,RESERVAS!G6:G203),(RESERVAS!J6:J203="Direto")*(RESERVAS!J6:J203&lt;&gt;"Cortesia"),"")</f>
        <v>LOC-001</v>
      </c>
      <c r="C3" s="103" t="str">
        <v>Carlos - Natal/Ano Novo</v>
      </c>
      <c r="D3" s="102">
        <v>11000</v>
      </c>
      <c r="E3" t="str" cm="1">
        <f t="array" ref="E3:E5">_xlfn.LET(_xlpm.ids,_xlfn._xlws.FILTER(RESERVAS!A6:A203,(RESERVAS!J6:J203="Direto")*(RESERVAS!J6:J203&lt;&gt;"Cortesia"),""),IF(_xlpm.ids="","",IF((COUNTIF($S$4,_xlpm.ids)+COUNTIF($V$4:$V$5,_xlpm.ids))&gt;0,"Configurado","Configurar pagamento")))</f>
        <v>Configurado</v>
      </c>
      <c r="F3" s="106" t="s">
        <v>134</v>
      </c>
      <c r="G3" s="106" t="s">
        <v>136</v>
      </c>
      <c r="H3" s="106" t="s">
        <v>138</v>
      </c>
      <c r="I3" s="106" t="s">
        <v>139</v>
      </c>
      <c r="J3" s="106" t="s">
        <v>140</v>
      </c>
      <c r="K3" s="106" t="s">
        <v>141</v>
      </c>
      <c r="L3" s="106" t="s">
        <v>142</v>
      </c>
      <c r="M3" s="106" t="s">
        <v>143</v>
      </c>
      <c r="N3" s="106" t="s">
        <v>62</v>
      </c>
      <c r="O3" s="106" t="s">
        <v>144</v>
      </c>
      <c r="P3" s="100" t="s">
        <v>155</v>
      </c>
      <c r="R3" s="105" t="s">
        <v>146</v>
      </c>
      <c r="S3" s="105" t="s">
        <v>147</v>
      </c>
      <c r="V3" s="105" t="s">
        <v>151</v>
      </c>
      <c r="W3" s="105" t="s">
        <v>140</v>
      </c>
      <c r="X3" s="105" t="s">
        <v>141</v>
      </c>
      <c r="Y3" s="105" t="s">
        <v>142</v>
      </c>
      <c r="Z3" s="105" t="s">
        <v>143</v>
      </c>
    </row>
    <row r="4" spans="2:26">
      <c r="B4" t="str">
        <v>LOC-005</v>
      </c>
      <c r="C4" s="103" t="str">
        <v>Miguel - Férias</v>
      </c>
      <c r="D4" s="102">
        <v>6600</v>
      </c>
      <c r="E4" t="str">
        <v>Configurado</v>
      </c>
      <c r="F4" s="112" t="str">
        <f>IF(1&lt;=$S$8,$S$4,"")</f>
        <v>LOC-001</v>
      </c>
      <c r="G4" s="112" t="str">
        <f>IF(F4="","",_xlfn.XLOOKUP(F4,RESERVAS!$A$6:$A$203,RESERVAS!$B$6:$B$203,""))</f>
        <v>Carlos - Natal/Ano Novo</v>
      </c>
      <c r="H4" s="113">
        <f t="shared" ref="H4:H15" si="0">IF(F4="","",$S$7)</f>
        <v>11000</v>
      </c>
      <c r="I4" s="114" t="str">
        <f>IF(F4="","",1&amp;" de "&amp;$S$8)</f>
        <v>1 de 5</v>
      </c>
      <c r="J4" s="115">
        <f>IF(F4="","",EDATE($S$5,0))</f>
        <v>46251</v>
      </c>
      <c r="K4" s="113">
        <f>IF(F4="","",MIN($S$6,MAX(0,$S$7-$S$6*(1-1))))</f>
        <v>2200</v>
      </c>
      <c r="L4" s="113">
        <v>2200</v>
      </c>
      <c r="M4" s="115">
        <v>46251</v>
      </c>
      <c r="N4" s="116" t="str">
        <f ca="1">IF(F4="","",IF(AND(ISNUMBER(L4),L4&gt;=K4),"Pago",IF(J4&lt;TODAY(),"Atrasado","A vencer")))</f>
        <v>Pago</v>
      </c>
      <c r="O4" s="113">
        <f>IF(F4="","",MAX(0,H4-SUM($L$4:L4)))</f>
        <v>8800</v>
      </c>
      <c r="P4" t="str">
        <f>IF(F4="","",IF(MAX($J$4:$J$15)&gt;_xlfn.XLOOKUP($S$4,RESERVAS!$A$6:$A$203,RESERVAS!$D$6:$D$203),"ALERTA: última parcela após a saída","OK"))</f>
        <v>OK</v>
      </c>
      <c r="R4" t="s">
        <v>134</v>
      </c>
      <c r="S4" s="108" t="s">
        <v>99</v>
      </c>
      <c r="V4" s="108" t="s">
        <v>152</v>
      </c>
    </row>
    <row r="5" spans="2:26">
      <c r="B5" t="str">
        <v>LOC-006</v>
      </c>
      <c r="C5" s="103" t="str">
        <v>Miguel - Férias</v>
      </c>
      <c r="D5" s="102">
        <v>9100</v>
      </c>
      <c r="E5" t="str">
        <v>Configurado</v>
      </c>
      <c r="F5" s="112" t="str">
        <f>IF(2&lt;=$S$8,$S$4,"")</f>
        <v>LOC-001</v>
      </c>
      <c r="G5" s="112" t="str">
        <f>IF(F5="","",_xlfn.XLOOKUP(F5,RESERVAS!$A$6:$A$203,RESERVAS!$B$6:$B$203,""))</f>
        <v>Carlos - Natal/Ano Novo</v>
      </c>
      <c r="H5" s="113">
        <f t="shared" si="0"/>
        <v>11000</v>
      </c>
      <c r="I5" s="114" t="str">
        <f>IF(F5="","",2&amp;" de "&amp;$S$8)</f>
        <v>2 de 5</v>
      </c>
      <c r="J5" s="115">
        <f>IF(F5="","",EDATE($S$5,1))</f>
        <v>46282</v>
      </c>
      <c r="K5" s="113">
        <f>IF(F5="","",MIN($S$6,MAX(0,$S$7-$S$6*(2-1))))</f>
        <v>2200</v>
      </c>
      <c r="L5" s="113">
        <v>2200</v>
      </c>
      <c r="M5" s="115">
        <v>46275</v>
      </c>
      <c r="N5" s="116" t="str">
        <f t="shared" ref="N5:N15" ca="1" si="1">IF(F5="","",IF(AND(ISNUMBER(L5),L5&gt;=K5),"Pago",IF(J5&lt;TODAY(),"Atrasado","A vencer")))</f>
        <v>Pago</v>
      </c>
      <c r="O5" s="113">
        <f>IF(F5="","",MAX(0,H5-SUM($L$4:L5)))</f>
        <v>6600</v>
      </c>
      <c r="P5" t="str">
        <f>IF(F5="","",IF(MAX($J$4:$J$15)&gt;_xlfn.XLOOKUP($S$4,RESERVAS!$A$6:$A$203,RESERVAS!$D$6:$D$203),"ALERTA: última parcela após a saída","OK"))</f>
        <v>OK</v>
      </c>
      <c r="R5" t="s">
        <v>148</v>
      </c>
      <c r="S5" s="111">
        <v>46251</v>
      </c>
      <c r="V5" s="108" t="s">
        <v>153</v>
      </c>
    </row>
    <row r="6" spans="2:26">
      <c r="C6" s="103"/>
      <c r="D6" s="102"/>
      <c r="F6" s="112" t="str">
        <f>IF(3&lt;=$S$8,$S$4,"")</f>
        <v>LOC-001</v>
      </c>
      <c r="G6" s="112" t="str">
        <f>IF(F6="","",_xlfn.XLOOKUP(F6,RESERVAS!$A$6:$A$203,RESERVAS!$B$6:$B$203,""))</f>
        <v>Carlos - Natal/Ano Novo</v>
      </c>
      <c r="H6" s="113">
        <f t="shared" si="0"/>
        <v>11000</v>
      </c>
      <c r="I6" s="114" t="str">
        <f>IF(F6="","",3&amp;" de "&amp;$S$8)</f>
        <v>3 de 5</v>
      </c>
      <c r="J6" s="115">
        <f>IF(F6="","",EDATE($S$5,2))</f>
        <v>46312</v>
      </c>
      <c r="K6" s="113">
        <f>IF(F6="","",MIN($S$6,MAX(0,$S$7-$S$6*(3-1))))</f>
        <v>2200</v>
      </c>
      <c r="L6" s="113">
        <v>2200</v>
      </c>
      <c r="M6" s="115">
        <v>46305</v>
      </c>
      <c r="N6" s="116" t="str">
        <f t="shared" ca="1" si="1"/>
        <v>Pago</v>
      </c>
      <c r="O6" s="113">
        <f>IF(F6="","",MAX(0,H6-SUM($L$4:L6)))</f>
        <v>4400</v>
      </c>
      <c r="P6" t="str">
        <f>IF(F6="","",IF(MAX($J$4:$J$15)&gt;_xlfn.XLOOKUP($S$4,RESERVAS!$A$6:$A$203,RESERVAS!$D$6:$D$203),"ALERTA: última parcela após a saída","OK"))</f>
        <v>OK</v>
      </c>
      <c r="R6" t="s">
        <v>149</v>
      </c>
      <c r="S6" s="110">
        <v>2200</v>
      </c>
    </row>
    <row r="7" spans="2:26">
      <c r="C7" s="103"/>
      <c r="D7" s="102"/>
      <c r="F7" s="112" t="str">
        <f>IF(4&lt;=$S$8,$S$4,"")</f>
        <v>LOC-001</v>
      </c>
      <c r="G7" s="112" t="str">
        <f>IF(F7="","",_xlfn.XLOOKUP(F7,RESERVAS!$A$6:$A$203,RESERVAS!$B$6:$B$203,""))</f>
        <v>Carlos - Natal/Ano Novo</v>
      </c>
      <c r="H7" s="113">
        <f t="shared" si="0"/>
        <v>11000</v>
      </c>
      <c r="I7" s="114" t="str">
        <f>IF(F7="","",4&amp;" de "&amp;$S$8)</f>
        <v>4 de 5</v>
      </c>
      <c r="J7" s="115">
        <f>IF(F7="","",EDATE($S$5,3))</f>
        <v>46343</v>
      </c>
      <c r="K7" s="113">
        <f>IF(F7="","",MIN($S$6,MAX(0,$S$7-$S$6*(4-1))))</f>
        <v>2200</v>
      </c>
      <c r="L7" s="113" t="str">
        <f>IF(F7="","",IF($S$14="","",$S$14))</f>
        <v/>
      </c>
      <c r="M7" s="115" t="str">
        <f>IF(F7="","",IF($T$14="","",$T$14))</f>
        <v/>
      </c>
      <c r="N7" s="116" t="str">
        <f t="shared" ca="1" si="1"/>
        <v>A vencer</v>
      </c>
      <c r="O7" s="113">
        <f>IF(F7="","",MAX(0,H7-SUM($L$4:L7)))</f>
        <v>4400</v>
      </c>
      <c r="P7" t="str">
        <f>IF(F7="","",IF(MAX($J$4:$J$15)&gt;_xlfn.XLOOKUP($S$4,RESERVAS!$A$6:$A$203,RESERVAS!$D$6:$D$203),"ALERTA: última parcela após a saída","OK"))</f>
        <v>OK</v>
      </c>
      <c r="R7" t="s">
        <v>138</v>
      </c>
      <c r="S7" s="109">
        <f>SUMIFS(RESERVAS!$G$6:$G$203,RESERVAS!$A$6:$A$203,S4)</f>
        <v>11000</v>
      </c>
      <c r="V7">
        <v>1</v>
      </c>
      <c r="W7" s="111">
        <v>46283</v>
      </c>
      <c r="X7" s="110">
        <v>3925</v>
      </c>
      <c r="Y7" s="110">
        <v>3925</v>
      </c>
      <c r="Z7" s="111">
        <v>46283</v>
      </c>
    </row>
    <row r="8" spans="2:26">
      <c r="C8" s="103"/>
      <c r="D8" s="102"/>
      <c r="F8" s="112" t="str">
        <f>IF(5&lt;=$S$8,$S$4,"")</f>
        <v>LOC-001</v>
      </c>
      <c r="G8" s="112" t="str">
        <f>IF(F8="","",_xlfn.XLOOKUP(F8,RESERVAS!$A$6:$A$203,RESERVAS!$B$6:$B$203,""))</f>
        <v>Carlos - Natal/Ano Novo</v>
      </c>
      <c r="H8" s="113">
        <f t="shared" si="0"/>
        <v>11000</v>
      </c>
      <c r="I8" s="114" t="str">
        <f>IF(F8="","",5&amp;" de "&amp;$S$8)</f>
        <v>5 de 5</v>
      </c>
      <c r="J8" s="115">
        <f>IF(F8="","",EDATE($S$5,4))</f>
        <v>46373</v>
      </c>
      <c r="K8" s="113">
        <f>IF(F8="","",MIN($S$6,MAX(0,$S$7-$S$6*(5-1))))</f>
        <v>2200</v>
      </c>
      <c r="L8" s="113" t="str">
        <f>IF(F8="","",IF($S$15="","",$S$15))</f>
        <v/>
      </c>
      <c r="M8" s="115" t="str">
        <f>IF(F8="","",IF($T$15="","",$T$15))</f>
        <v/>
      </c>
      <c r="N8" s="116" t="str">
        <f t="shared" ca="1" si="1"/>
        <v>A vencer</v>
      </c>
      <c r="O8" s="113">
        <f>IF(F8="","",MAX(0,H8-SUM($L$4:L8)))</f>
        <v>4400</v>
      </c>
      <c r="P8" t="str">
        <f>IF(F8="","",IF(MAX($J$4:$J$15)&gt;_xlfn.XLOOKUP($S$4,RESERVAS!$A$6:$A$203,RESERVAS!$D$6:$D$203),"ALERTA: última parcela após a saída","OK"))</f>
        <v>OK</v>
      </c>
      <c r="R8" t="s">
        <v>150</v>
      </c>
      <c r="S8" s="107">
        <v>5</v>
      </c>
      <c r="V8">
        <v>2</v>
      </c>
      <c r="W8" s="111">
        <v>46376</v>
      </c>
      <c r="X8" s="110">
        <v>8831.25</v>
      </c>
      <c r="Y8" s="110"/>
      <c r="Z8" s="111"/>
    </row>
    <row r="9" spans="2:26">
      <c r="C9" s="103"/>
      <c r="D9" s="102"/>
      <c r="F9" s="112" t="str">
        <f>IF(6&lt;=$S$8,$S$4,"")</f>
        <v/>
      </c>
      <c r="G9" s="112" t="str">
        <f>IF(F9="","",_xlfn.XLOOKUP(F9,RESERVAS!$A$6:$A$203,RESERVAS!$B$6:$B$203,""))</f>
        <v/>
      </c>
      <c r="H9" s="113" t="str">
        <f t="shared" si="0"/>
        <v/>
      </c>
      <c r="I9" s="114" t="str">
        <f>IF(F9="","",6&amp;" de "&amp;$S$8)</f>
        <v/>
      </c>
      <c r="J9" s="115" t="str">
        <f>IF(F9="","",EDATE($S$5,5))</f>
        <v/>
      </c>
      <c r="K9" s="113" t="str">
        <f>IF(F9="","",MIN($S$6,MAX(0,$S$7-$S$6*(6-1))))</f>
        <v/>
      </c>
      <c r="L9" s="113" t="str">
        <f>IF(F9="","",IF($S$16="","",$S$16))</f>
        <v/>
      </c>
      <c r="M9" s="115" t="str">
        <f>IF(F9="","",IF($T$16="","",$T$16))</f>
        <v/>
      </c>
      <c r="N9" s="116" t="str">
        <f t="shared" ca="1" si="1"/>
        <v/>
      </c>
      <c r="O9" s="113" t="str">
        <f>IF(F9="","",MAX(0,H9-SUM($L$4:L9)))</f>
        <v/>
      </c>
      <c r="P9" t="str">
        <f>IF(F9="","",IF(MAX($J$4:$J$15)&gt;_xlfn.XLOOKUP($S$4,RESERVAS!$A$6:$A$203,RESERVAS!$D$6:$D$203),"ALERTA: última parcela após a saída","OK"))</f>
        <v/>
      </c>
      <c r="V9">
        <v>3</v>
      </c>
      <c r="W9" s="111">
        <v>46399</v>
      </c>
      <c r="X9" s="110">
        <v>2943.75</v>
      </c>
      <c r="Y9" s="110"/>
      <c r="Z9" s="111"/>
    </row>
    <row r="10" spans="2:26" ht="15">
      <c r="C10" s="103"/>
      <c r="D10" s="102"/>
      <c r="F10" s="112" t="str">
        <f>IF(7&lt;=$S$8,$S$4,"")</f>
        <v/>
      </c>
      <c r="G10" s="112" t="str">
        <f>IF(F10="","",_xlfn.XLOOKUP(F10,RESERVAS!$A$6:$A$203,RESERVAS!$B$6:$B$203,""))</f>
        <v/>
      </c>
      <c r="H10" s="113" t="str">
        <f t="shared" si="0"/>
        <v/>
      </c>
      <c r="I10" s="114" t="str">
        <f>IF(F10="","",7&amp;" de "&amp;$S$8)</f>
        <v/>
      </c>
      <c r="J10" s="115" t="str">
        <f>IF(F10="","",EDATE($S$5,6))</f>
        <v/>
      </c>
      <c r="K10" s="113" t="str">
        <f>IF(F10="","",MIN($S$6,MAX(0,$S$7-$S$6*(7-1))))</f>
        <v/>
      </c>
      <c r="L10" s="113" t="str">
        <f>IF(F10="","",IF($S$17="","",$S$17))</f>
        <v/>
      </c>
      <c r="M10" s="115" t="str">
        <f>IF(F10="","",IF($T$17="","",$T$17))</f>
        <v/>
      </c>
      <c r="N10" s="116" t="str">
        <f t="shared" ca="1" si="1"/>
        <v/>
      </c>
      <c r="O10" s="113" t="str">
        <f>IF(F10="","",MAX(0,H10-SUM($L$4:L10)))</f>
        <v/>
      </c>
      <c r="P10" t="str">
        <f>IF(F10="","",IF(MAX($J$4:$J$15)&gt;_xlfn.XLOOKUP($S$4,RESERVAS!$A$6:$A$203,RESERVAS!$D$6:$D$203),"ALERTA: última parcela após a saída","OK"))</f>
        <v/>
      </c>
      <c r="R10" s="119"/>
      <c r="S10" s="119"/>
      <c r="T10" s="119"/>
    </row>
    <row r="11" spans="2:26">
      <c r="C11" s="103"/>
      <c r="D11" s="102"/>
      <c r="F11" s="112" t="str">
        <f>IF(8&lt;=$S$8,$S$4,"")</f>
        <v/>
      </c>
      <c r="G11" s="112" t="str">
        <f>IF(F11="","",_xlfn.XLOOKUP(F11,RESERVAS!$A$6:$A$203,RESERVAS!$B$6:$B$203,""))</f>
        <v/>
      </c>
      <c r="H11" s="113" t="str">
        <f t="shared" si="0"/>
        <v/>
      </c>
      <c r="I11" s="114" t="str">
        <f>IF(F11="","",8&amp;" de "&amp;$S$8)</f>
        <v/>
      </c>
      <c r="J11" s="115" t="str">
        <f>IF(F11="","",EDATE($S$5,7))</f>
        <v/>
      </c>
      <c r="K11" s="113" t="str">
        <f>IF(F11="","",MIN($S$6,MAX(0,$S$7-$S$6*(8-1))))</f>
        <v/>
      </c>
      <c r="L11" s="113" t="str">
        <f>IF(F11="","",IF($S$18="","",$S$18))</f>
        <v/>
      </c>
      <c r="M11" s="115" t="str">
        <f>IF(F11="","",IF($T$18="","",$T$18))</f>
        <v/>
      </c>
      <c r="N11" s="116" t="str">
        <f t="shared" ca="1" si="1"/>
        <v/>
      </c>
      <c r="O11" s="113" t="str">
        <f>IF(F11="","",MAX(0,H11-SUM($L$4:L11)))</f>
        <v/>
      </c>
      <c r="P11" t="str">
        <f>IF(F11="","",IF(MAX($J$4:$J$15)&gt;_xlfn.XLOOKUP($S$4,RESERVAS!$A$6:$A$203,RESERVAS!$D$6:$D$203),"ALERTA: última parcela após a saída","OK"))</f>
        <v/>
      </c>
      <c r="S11" s="110"/>
      <c r="T11" s="111"/>
    </row>
    <row r="12" spans="2:26">
      <c r="C12" s="103"/>
      <c r="D12" s="102"/>
      <c r="F12" s="112" t="str">
        <f>IF(9&lt;=$S$8,$S$4,"")</f>
        <v/>
      </c>
      <c r="G12" s="112" t="str">
        <f>IF(F12="","",_xlfn.XLOOKUP(F12,RESERVAS!$A$6:$A$203,RESERVAS!$B$6:$B$203,""))</f>
        <v/>
      </c>
      <c r="H12" s="113" t="str">
        <f t="shared" si="0"/>
        <v/>
      </c>
      <c r="I12" s="114" t="str">
        <f>IF(F12="","",9&amp;" de "&amp;$S$8)</f>
        <v/>
      </c>
      <c r="J12" s="115" t="str">
        <f>IF(F12="","",EDATE($S$5,8))</f>
        <v/>
      </c>
      <c r="K12" s="113" t="str">
        <f>IF(F12="","",MIN($S$6,MAX(0,$S$7-$S$6*(9-1))))</f>
        <v/>
      </c>
      <c r="L12" s="113" t="str">
        <f>IF(F12="","",IF($S$19="","",$S$19))</f>
        <v/>
      </c>
      <c r="M12" s="115" t="str">
        <f>IF(F12="","",IF($T$19="","",$T$19))</f>
        <v/>
      </c>
      <c r="N12" s="116" t="str">
        <f t="shared" ca="1" si="1"/>
        <v/>
      </c>
      <c r="O12" s="113" t="str">
        <f>IF(F12="","",MAX(0,H12-SUM($L$4:L12)))</f>
        <v/>
      </c>
      <c r="P12" t="str">
        <f>IF(F12="","",IF(MAX($J$4:$J$15)&gt;_xlfn.XLOOKUP($S$4,RESERVAS!$A$6:$A$203,RESERVAS!$D$6:$D$203),"ALERTA: última parcela após a saída","OK"))</f>
        <v/>
      </c>
      <c r="S12" s="110"/>
      <c r="T12" s="111"/>
    </row>
    <row r="13" spans="2:26">
      <c r="C13" s="103"/>
      <c r="D13" s="102"/>
      <c r="F13" s="101" t="str">
        <f>IF(10&lt;=$S$8,$S$4,"")</f>
        <v/>
      </c>
      <c r="G13" s="101" t="str">
        <f>IF(F13="","",_xlfn.XLOOKUP(F13,RESERVAS!$A$6:$A$203,RESERVAS!$B$6:$B$203,""))</f>
        <v/>
      </c>
      <c r="H13" s="113" t="str">
        <f t="shared" si="0"/>
        <v/>
      </c>
      <c r="I13" s="101" t="str">
        <f>IF(F13="","",10&amp;" de "&amp;$S$8)</f>
        <v/>
      </c>
      <c r="J13" s="117" t="str">
        <f>IF(F13="","",EDATE($S$5,9))</f>
        <v/>
      </c>
      <c r="K13" s="118" t="str">
        <f>IF(F13="","",MIN($S$6,MAX(0,$S$7-$S$6*(10-1))))</f>
        <v/>
      </c>
      <c r="L13" s="118" t="str">
        <f>IF(F13="","",IF($S$20="","",$S$20))</f>
        <v/>
      </c>
      <c r="M13" s="117" t="str">
        <f>IF(F13="","",IF($T$20="","",$T$20))</f>
        <v/>
      </c>
      <c r="N13" s="116" t="str">
        <f t="shared" ca="1" si="1"/>
        <v/>
      </c>
      <c r="O13" s="113" t="str">
        <f>IF(F13="","",MAX(0,H13-SUM($L$4:L13)))</f>
        <v/>
      </c>
      <c r="P13" t="str">
        <f>IF(F13="","",IF(MAX($J$4:$J$15)&gt;_xlfn.XLOOKUP($S$4,RESERVAS!$A$6:$A$203,RESERVAS!$D$6:$D$203),"ALERTA: última parcela após a saída","OK"))</f>
        <v/>
      </c>
      <c r="S13" s="110"/>
      <c r="T13" s="111"/>
    </row>
    <row r="14" spans="2:26">
      <c r="C14" s="103"/>
      <c r="D14" s="102"/>
      <c r="F14" s="101" t="str">
        <f>IF(11&lt;=$S$8,$S$4,"")</f>
        <v/>
      </c>
      <c r="G14" s="101" t="str">
        <f>IF(F14="","",_xlfn.XLOOKUP(F14,RESERVAS!$A$6:$A$203,RESERVAS!$B$6:$B$203,""))</f>
        <v/>
      </c>
      <c r="H14" s="113" t="str">
        <f t="shared" si="0"/>
        <v/>
      </c>
      <c r="I14" s="101" t="str">
        <f>IF(F14="","",11&amp;" de "&amp;$S$8)</f>
        <v/>
      </c>
      <c r="J14" s="117" t="str">
        <f>IF(F14="","",EDATE($S$5,10))</f>
        <v/>
      </c>
      <c r="K14" s="118" t="str">
        <f>IF(F14="","",MIN($S$6,MAX(0,$S$7-$S$6*(11-1))))</f>
        <v/>
      </c>
      <c r="L14" s="118" t="str">
        <f>IF(F14="","",IF($S$21="","",$S$21))</f>
        <v/>
      </c>
      <c r="M14" s="117" t="str">
        <f>IF(F14="","",IF($T$21="","",$T$21))</f>
        <v/>
      </c>
      <c r="N14" s="116" t="str">
        <f t="shared" ca="1" si="1"/>
        <v/>
      </c>
      <c r="O14" s="113" t="str">
        <f>IF(F14="","",MAX(0,H14-SUM($L$4:L14)))</f>
        <v/>
      </c>
      <c r="P14" t="str">
        <f>IF(F14="","",IF(MAX($J$4:$J$15)&gt;_xlfn.XLOOKUP($S$4,RESERVAS!$A$6:$A$203,RESERVAS!$D$6:$D$203),"ALERTA: última parcela após a saída","OK"))</f>
        <v/>
      </c>
      <c r="S14" s="110"/>
      <c r="T14" s="111"/>
    </row>
    <row r="15" spans="2:26">
      <c r="C15" s="103"/>
      <c r="D15" s="102"/>
      <c r="F15" s="101" t="str">
        <f>IF(12&lt;=$S$8,$S$4,"")</f>
        <v/>
      </c>
      <c r="G15" s="101" t="str">
        <f>IF(F15="","",_xlfn.XLOOKUP(F15,RESERVAS!$A$6:$A$203,RESERVAS!$B$6:$B$203,""))</f>
        <v/>
      </c>
      <c r="H15" s="113" t="str">
        <f t="shared" si="0"/>
        <v/>
      </c>
      <c r="I15" s="101" t="str">
        <f>IF(F15="","",12&amp;" de "&amp;$S$8)</f>
        <v/>
      </c>
      <c r="J15" s="117" t="str">
        <f>IF(F15="","",EDATE($S$5,11))</f>
        <v/>
      </c>
      <c r="K15" s="118" t="str">
        <f>IF(F15="","",MIN($S$6,MAX(0,$S$7-$S$6*(12-1))))</f>
        <v/>
      </c>
      <c r="L15" s="118" t="str">
        <f>IF(F15="","",IF($S$22="","",$S$22))</f>
        <v/>
      </c>
      <c r="M15" s="117" t="str">
        <f>IF(F15="","",IF($T$22="","",$T$22))</f>
        <v/>
      </c>
      <c r="N15" s="116" t="str">
        <f t="shared" ca="1" si="1"/>
        <v/>
      </c>
      <c r="O15" s="113" t="str">
        <f>IF(F15="","",MAX(0,H15-SUM($L$4:L15)))</f>
        <v/>
      </c>
      <c r="P15" t="str">
        <f>IF(F15="","",IF(MAX($J$4:$J$15)&gt;_xlfn.XLOOKUP($S$4,RESERVAS!$A$6:$A$203,RESERVAS!$D$6:$D$203),"ALERTA: última parcela após a saída","OK"))</f>
        <v/>
      </c>
      <c r="S15" s="110"/>
      <c r="T15" s="111"/>
    </row>
    <row r="16" spans="2:26">
      <c r="C16" s="103"/>
      <c r="D16" s="102"/>
      <c r="F16" s="101"/>
      <c r="G16" s="101"/>
      <c r="H16" s="118"/>
      <c r="I16" s="101"/>
      <c r="J16" s="117"/>
      <c r="K16" s="118"/>
      <c r="L16" s="118"/>
      <c r="M16" s="117"/>
      <c r="N16" s="101"/>
      <c r="O16" s="118"/>
      <c r="S16" s="110"/>
      <c r="T16" s="111"/>
    </row>
    <row r="17" spans="3:20">
      <c r="C17" s="103"/>
      <c r="D17" s="102"/>
      <c r="F17" s="101" t="str">
        <f>IF(W7="","",$V$4&amp;" + "&amp;$V$5)</f>
        <v>LOC-005 + LOC-006</v>
      </c>
      <c r="G17" s="101" t="str">
        <f>IF(F17="","",_xlfn.XLOOKUP($V$4,RESERVAS!$A$6:$A$203,RESERVAS!$B$6:$B$203,""))</f>
        <v>Miguel - Férias</v>
      </c>
      <c r="H17" s="113">
        <f>IF(F17="","",SUMIFS(RESERVAS!$G$6:$G$203,RESERVAS!$A$6:$A$203,$V$4)+SUMIFS(RESERVAS!$G$6:$G$203,RESERVAS!$A$6:$A$203,$V$5))</f>
        <v>15700</v>
      </c>
      <c r="I17" s="101" t="str">
        <f>IF(F17="","",1&amp;" de "&amp;COUNT($W$7:$W$9))</f>
        <v>1 de 3</v>
      </c>
      <c r="J17" s="117">
        <f>IF(F17="","",W7)</f>
        <v>46283</v>
      </c>
      <c r="K17" s="118">
        <f>IF(F17="","",X7)</f>
        <v>3925</v>
      </c>
      <c r="L17" s="118">
        <f>IF(F17="","",IF(Y7="","",Y7))</f>
        <v>3925</v>
      </c>
      <c r="M17" s="117">
        <f>IF(F17="","",IF(Z7="","",Z7))</f>
        <v>46283</v>
      </c>
      <c r="N17" s="116" t="str">
        <f ca="1">IF(F17="","",IF(AND(ISNUMBER(L17),L17&gt;=K17),"Pago",IF(J17&lt;TODAY(),"Atrasado","A vencer")))</f>
        <v>Pago</v>
      </c>
      <c r="O17" s="113">
        <f>IF(F17="","",MAX(0,H17-SUM($L$17:L17)))</f>
        <v>11775</v>
      </c>
      <c r="P17" t="str">
        <f>IF(F17="","",IF(MAX($J$17:$J$19)&gt;MAX(_xlfn.XLOOKUP($V$4,RESERVAS!$A$6:$A$203,RESERVAS!$D$6:$D$203),_xlfn.XLOOKUP($V$5,RESERVAS!$A$6:$A$203,RESERVAS!$D$6:$D$203)),"ALERTA: última parcela após a saída","OK"))</f>
        <v>OK</v>
      </c>
      <c r="S17" s="110"/>
      <c r="T17" s="111"/>
    </row>
    <row r="18" spans="3:20">
      <c r="C18" s="103"/>
      <c r="D18" s="102"/>
      <c r="F18" s="101" t="str">
        <f>IF(W8="","",$V$4&amp;" + "&amp;$V$5)</f>
        <v>LOC-005 + LOC-006</v>
      </c>
      <c r="G18" s="101" t="str">
        <f>IF(F18="","",_xlfn.XLOOKUP($V$4,RESERVAS!$A$6:$A$203,RESERVAS!$B$6:$B$203,""))</f>
        <v>Miguel - Férias</v>
      </c>
      <c r="H18" s="118">
        <f>IF(F18="","",SUMIFS(RESERVAS!$G$6:$G$203,RESERVAS!$A$6:$A$203,$V$4)+SUMIFS(RESERVAS!$G$6:$G$203,RESERVAS!$A$6:$A$203,$V$5))</f>
        <v>15700</v>
      </c>
      <c r="I18" s="101" t="str">
        <f>IF(F18="","",2&amp;" de "&amp;COUNT($W$7:$W$9))</f>
        <v>2 de 3</v>
      </c>
      <c r="J18" s="117">
        <f>IF(F18="","",W8)</f>
        <v>46376</v>
      </c>
      <c r="K18" s="118">
        <f>IF(F18="","",X8)</f>
        <v>8831.25</v>
      </c>
      <c r="L18" s="118" t="str">
        <f>IF(F18="","",IF(Y8="","",Y8))</f>
        <v/>
      </c>
      <c r="M18" s="117" t="str">
        <f>IF(F18="","",IF(Z8="","",Z8))</f>
        <v/>
      </c>
      <c r="N18" s="116" t="str">
        <f ca="1">IF(F18="","",IF(AND(ISNUMBER(L18),L18&gt;=K18),"Pago",IF(J18&lt;TODAY(),"Atrasado","A vencer")))</f>
        <v>A vencer</v>
      </c>
      <c r="O18" s="118">
        <f>IF(F18="","",MAX(0,H18-SUM($L$17:L18)))</f>
        <v>11775</v>
      </c>
      <c r="P18" t="str">
        <f>IF(F18="","",IF(MAX($J$17:$J$19)&gt;MAX(_xlfn.XLOOKUP($V$4,RESERVAS!$A$6:$A$203,RESERVAS!$D$6:$D$203),_xlfn.XLOOKUP($V$5,RESERVAS!$A$6:$A$203,RESERVAS!$D$6:$D$203)),"ALERTA: última parcela após a saída","OK"))</f>
        <v>OK</v>
      </c>
      <c r="S18" s="110"/>
      <c r="T18" s="111"/>
    </row>
    <row r="19" spans="3:20">
      <c r="C19" s="103"/>
      <c r="D19" s="102"/>
      <c r="F19" s="101" t="str">
        <f>IF(W9="","",$V$4&amp;" + "&amp;$V$5)</f>
        <v>LOC-005 + LOC-006</v>
      </c>
      <c r="G19" s="101" t="str">
        <f>IF(F19="","",_xlfn.XLOOKUP($V$4,RESERVAS!$A$6:$A$203,RESERVAS!$B$6:$B$203,""))</f>
        <v>Miguel - Férias</v>
      </c>
      <c r="H19" s="118">
        <f>IF(F19="","",SUMIFS(RESERVAS!$G$6:$G$203,RESERVAS!$A$6:$A$203,$V$4)+SUMIFS(RESERVAS!$G$6:$G$203,RESERVAS!$A$6:$A$203,$V$5))</f>
        <v>15700</v>
      </c>
      <c r="I19" s="101" t="str">
        <f>IF(F19="","",3&amp;" de "&amp;COUNT($W$7:$W$9))</f>
        <v>3 de 3</v>
      </c>
      <c r="J19" s="117">
        <f>IF(F19="","",W9)</f>
        <v>46399</v>
      </c>
      <c r="K19" s="118">
        <f>IF(F19="","",X9)</f>
        <v>2943.75</v>
      </c>
      <c r="L19" s="118" t="str">
        <f>IF(F19="","",IF(Y9="","",Y9))</f>
        <v/>
      </c>
      <c r="M19" s="117" t="str">
        <f>IF(F19="","",IF(Z9="","",Z9))</f>
        <v/>
      </c>
      <c r="N19" s="116" t="str">
        <f ca="1">IF(F19="","",IF(AND(ISNUMBER(L19),L19&gt;=K19),"Pago",IF(J19&lt;TODAY(),"Atrasado","A vencer")))</f>
        <v>A vencer</v>
      </c>
      <c r="O19" s="118">
        <f>IF(F19="","",MAX(0,H19-SUM($L$17:L19)))</f>
        <v>11775</v>
      </c>
      <c r="P19" t="str">
        <f>IF(F19="","",IF(MAX($J$17:$J$19)&gt;MAX(_xlfn.XLOOKUP($V$4,RESERVAS!$A$6:$A$203,RESERVAS!$D$6:$D$203),_xlfn.XLOOKUP($V$5,RESERVAS!$A$6:$A$203,RESERVAS!$D$6:$D$203)),"ALERTA: última parcela após a saída","OK"))</f>
        <v>OK</v>
      </c>
      <c r="S19" s="110"/>
      <c r="T19" s="111"/>
    </row>
    <row r="20" spans="3:20">
      <c r="C20" s="103"/>
      <c r="D20" s="102"/>
      <c r="S20" s="110"/>
      <c r="T20" s="111"/>
    </row>
    <row r="21" spans="3:20">
      <c r="C21" s="103"/>
      <c r="D21" s="102"/>
      <c r="S21" s="110"/>
      <c r="T21" s="111"/>
    </row>
    <row r="22" spans="3:20">
      <c r="C22" s="103"/>
      <c r="D22" s="102"/>
      <c r="S22" s="110"/>
      <c r="T22" s="111"/>
    </row>
    <row r="23" spans="3:20">
      <c r="C23" s="103"/>
      <c r="D23" s="102"/>
    </row>
    <row r="24" spans="3:20">
      <c r="C24" s="103"/>
      <c r="D24" s="102"/>
    </row>
    <row r="25" spans="3:20">
      <c r="C25" s="103"/>
      <c r="D25" s="102"/>
    </row>
    <row r="26" spans="3:20">
      <c r="C26" s="103"/>
      <c r="D26" s="102"/>
    </row>
    <row r="27" spans="3:20">
      <c r="C27" s="103"/>
      <c r="D27" s="102"/>
    </row>
    <row r="28" spans="3:20">
      <c r="C28" s="103"/>
      <c r="D28" s="102"/>
    </row>
    <row r="29" spans="3:20">
      <c r="C29" s="103"/>
      <c r="D29" s="102"/>
    </row>
    <row r="30" spans="3:20">
      <c r="C30" s="103"/>
      <c r="D30" s="102"/>
    </row>
    <row r="31" spans="3:20">
      <c r="C31" s="103"/>
      <c r="D31" s="102"/>
    </row>
    <row r="32" spans="3:20">
      <c r="C32" s="103"/>
      <c r="D32" s="102"/>
    </row>
    <row r="33" spans="3:4">
      <c r="C33" s="103"/>
      <c r="D33" s="102"/>
    </row>
    <row r="34" spans="3:4">
      <c r="C34" s="103"/>
      <c r="D34" s="102"/>
    </row>
    <row r="35" spans="3:4">
      <c r="C35" s="103"/>
      <c r="D35" s="102"/>
    </row>
    <row r="36" spans="3:4">
      <c r="C36" s="103"/>
      <c r="D36" s="102"/>
    </row>
    <row r="37" spans="3:4">
      <c r="C37" s="103"/>
      <c r="D37" s="102"/>
    </row>
    <row r="38" spans="3:4">
      <c r="C38" s="103"/>
      <c r="D38" s="102"/>
    </row>
    <row r="39" spans="3:4">
      <c r="C39" s="103"/>
      <c r="D39" s="102"/>
    </row>
    <row r="40" spans="3:4">
      <c r="C40" s="103"/>
      <c r="D40" s="102"/>
    </row>
    <row r="41" spans="3:4">
      <c r="C41" s="103"/>
      <c r="D41" s="102"/>
    </row>
    <row r="42" spans="3:4">
      <c r="C42" s="103"/>
      <c r="D42" s="102"/>
    </row>
    <row r="43" spans="3:4">
      <c r="C43" s="103"/>
      <c r="D43" s="102"/>
    </row>
    <row r="44" spans="3:4">
      <c r="C44" s="103"/>
      <c r="D44" s="102"/>
    </row>
    <row r="45" spans="3:4">
      <c r="C45" s="103"/>
      <c r="D45" s="102"/>
    </row>
    <row r="46" spans="3:4">
      <c r="C46" s="103"/>
      <c r="D46" s="102"/>
    </row>
    <row r="47" spans="3:4">
      <c r="C47" s="103"/>
      <c r="D47" s="102"/>
    </row>
    <row r="48" spans="3:4">
      <c r="C48" s="103"/>
      <c r="D48" s="102"/>
    </row>
    <row r="49" spans="3:4">
      <c r="C49" s="103"/>
      <c r="D49" s="102"/>
    </row>
    <row r="50" spans="3:4">
      <c r="C50" s="103"/>
      <c r="D50" s="102"/>
    </row>
    <row r="51" spans="3:4">
      <c r="C51" s="103"/>
      <c r="D51" s="102"/>
    </row>
    <row r="52" spans="3:4">
      <c r="C52" s="103"/>
      <c r="D52" s="102"/>
    </row>
    <row r="53" spans="3:4">
      <c r="C53" s="103"/>
      <c r="D53" s="102"/>
    </row>
    <row r="54" spans="3:4">
      <c r="C54" s="103"/>
      <c r="D54" s="102"/>
    </row>
    <row r="55" spans="3:4">
      <c r="C55" s="103"/>
      <c r="D55" s="102"/>
    </row>
    <row r="56" spans="3:4">
      <c r="C56" s="103"/>
      <c r="D56" s="102"/>
    </row>
    <row r="57" spans="3:4">
      <c r="C57" s="103"/>
      <c r="D57" s="102"/>
    </row>
    <row r="58" spans="3:4">
      <c r="C58" s="103"/>
      <c r="D58" s="102"/>
    </row>
    <row r="59" spans="3:4">
      <c r="C59" s="103"/>
      <c r="D59" s="102"/>
    </row>
    <row r="60" spans="3:4">
      <c r="C60" s="103"/>
      <c r="D60" s="102"/>
    </row>
    <row r="61" spans="3:4">
      <c r="C61" s="103"/>
      <c r="D61" s="102"/>
    </row>
    <row r="62" spans="3:4">
      <c r="C62" s="103"/>
      <c r="D62" s="102"/>
    </row>
    <row r="63" spans="3:4">
      <c r="C63" s="103"/>
      <c r="D63" s="102"/>
    </row>
    <row r="64" spans="3:4">
      <c r="C64" s="103"/>
      <c r="D64" s="102"/>
    </row>
    <row r="65" spans="3:4">
      <c r="C65" s="103"/>
      <c r="D65" s="102"/>
    </row>
    <row r="66" spans="3:4">
      <c r="C66" s="103"/>
      <c r="D66" s="102"/>
    </row>
    <row r="67" spans="3:4">
      <c r="C67" s="103"/>
      <c r="D67" s="102"/>
    </row>
    <row r="68" spans="3:4">
      <c r="C68" s="103"/>
      <c r="D68" s="102"/>
    </row>
    <row r="69" spans="3:4">
      <c r="C69" s="103"/>
      <c r="D69" s="102"/>
    </row>
    <row r="70" spans="3:4">
      <c r="C70" s="103"/>
      <c r="D70" s="102"/>
    </row>
    <row r="71" spans="3:4">
      <c r="C71" s="103"/>
      <c r="D71" s="102"/>
    </row>
    <row r="72" spans="3:4">
      <c r="C72" s="103"/>
      <c r="D72" s="102"/>
    </row>
    <row r="73" spans="3:4">
      <c r="C73" s="103"/>
      <c r="D73" s="102"/>
    </row>
    <row r="74" spans="3:4">
      <c r="C74" s="103"/>
      <c r="D74" s="102"/>
    </row>
    <row r="75" spans="3:4">
      <c r="C75" s="103"/>
      <c r="D75" s="102"/>
    </row>
    <row r="76" spans="3:4">
      <c r="C76" s="103"/>
      <c r="D76" s="102"/>
    </row>
    <row r="77" spans="3:4">
      <c r="C77" s="103"/>
      <c r="D77" s="102"/>
    </row>
    <row r="78" spans="3:4">
      <c r="C78" s="103"/>
      <c r="D78" s="102"/>
    </row>
    <row r="79" spans="3:4">
      <c r="C79" s="103"/>
      <c r="D79" s="102"/>
    </row>
    <row r="80" spans="3:4">
      <c r="C80" s="103"/>
      <c r="D80" s="102"/>
    </row>
    <row r="81" spans="3:4">
      <c r="C81" s="103"/>
      <c r="D81" s="102"/>
    </row>
    <row r="82" spans="3:4">
      <c r="C82" s="103"/>
      <c r="D82" s="102"/>
    </row>
    <row r="83" spans="3:4">
      <c r="C83" s="103"/>
      <c r="D83" s="102"/>
    </row>
    <row r="84" spans="3:4">
      <c r="C84" s="103"/>
      <c r="D84" s="102"/>
    </row>
    <row r="85" spans="3:4">
      <c r="C85" s="103"/>
      <c r="D85" s="102"/>
    </row>
    <row r="86" spans="3:4">
      <c r="C86" s="103"/>
      <c r="D86" s="102"/>
    </row>
    <row r="87" spans="3:4">
      <c r="C87" s="103"/>
      <c r="D87" s="102"/>
    </row>
    <row r="88" spans="3:4">
      <c r="C88" s="103"/>
      <c r="D88" s="102"/>
    </row>
    <row r="89" spans="3:4">
      <c r="C89" s="103"/>
      <c r="D89" s="102"/>
    </row>
    <row r="90" spans="3:4">
      <c r="C90" s="103"/>
      <c r="D90" s="102"/>
    </row>
    <row r="91" spans="3:4">
      <c r="C91" s="103"/>
      <c r="D91" s="102"/>
    </row>
    <row r="92" spans="3:4">
      <c r="C92" s="103"/>
      <c r="D92" s="102"/>
    </row>
    <row r="93" spans="3:4">
      <c r="C93" s="103"/>
      <c r="D93" s="102"/>
    </row>
    <row r="94" spans="3:4">
      <c r="C94" s="103"/>
      <c r="D94" s="102"/>
    </row>
    <row r="95" spans="3:4">
      <c r="C95" s="103"/>
      <c r="D95" s="102"/>
    </row>
    <row r="96" spans="3:4">
      <c r="C96" s="103"/>
      <c r="D96" s="102"/>
    </row>
    <row r="97" spans="3:4">
      <c r="C97" s="103"/>
      <c r="D97" s="102"/>
    </row>
    <row r="98" spans="3:4">
      <c r="C98" s="103"/>
      <c r="D98" s="102"/>
    </row>
    <row r="99" spans="3:4">
      <c r="C99" s="103"/>
      <c r="D99" s="102"/>
    </row>
    <row r="100" spans="3:4">
      <c r="C100" s="103"/>
      <c r="D100" s="102"/>
    </row>
    <row r="101" spans="3:4">
      <c r="C101" s="103"/>
      <c r="D101" s="102"/>
    </row>
    <row r="102" spans="3:4">
      <c r="C102" s="103"/>
      <c r="D102" s="102"/>
    </row>
    <row r="103" spans="3:4">
      <c r="C103" s="103"/>
      <c r="D103" s="102"/>
    </row>
    <row r="104" spans="3:4">
      <c r="C104" s="103"/>
      <c r="D104" s="102"/>
    </row>
    <row r="105" spans="3:4">
      <c r="C105" s="103"/>
      <c r="D105" s="102"/>
    </row>
    <row r="106" spans="3:4">
      <c r="C106" s="103"/>
      <c r="D106" s="102"/>
    </row>
    <row r="107" spans="3:4">
      <c r="C107" s="103"/>
      <c r="D107" s="102"/>
    </row>
    <row r="108" spans="3:4">
      <c r="C108" s="103"/>
      <c r="D108" s="102"/>
    </row>
    <row r="109" spans="3:4">
      <c r="C109" s="103"/>
      <c r="D109" s="102"/>
    </row>
    <row r="110" spans="3:4">
      <c r="C110" s="103"/>
      <c r="D110" s="102"/>
    </row>
    <row r="111" spans="3:4">
      <c r="C111" s="103"/>
      <c r="D111" s="102"/>
    </row>
    <row r="112" spans="3:4">
      <c r="C112" s="103"/>
      <c r="D112" s="102"/>
    </row>
    <row r="113" spans="3:4">
      <c r="C113" s="103"/>
      <c r="D113" s="102"/>
    </row>
    <row r="114" spans="3:4">
      <c r="C114" s="103"/>
      <c r="D114" s="102"/>
    </row>
    <row r="115" spans="3:4">
      <c r="C115" s="103"/>
      <c r="D115" s="102"/>
    </row>
    <row r="116" spans="3:4">
      <c r="C116" s="103"/>
      <c r="D116" s="102"/>
    </row>
    <row r="117" spans="3:4">
      <c r="C117" s="103"/>
      <c r="D117" s="102"/>
    </row>
    <row r="118" spans="3:4">
      <c r="C118" s="103"/>
      <c r="D118" s="102"/>
    </row>
    <row r="119" spans="3:4">
      <c r="C119" s="103"/>
      <c r="D119" s="102"/>
    </row>
    <row r="120" spans="3:4">
      <c r="C120" s="103"/>
      <c r="D120" s="102"/>
    </row>
    <row r="121" spans="3:4">
      <c r="C121" s="103"/>
      <c r="D121" s="102"/>
    </row>
    <row r="122" spans="3:4">
      <c r="C122" s="103"/>
      <c r="D122" s="102"/>
    </row>
    <row r="123" spans="3:4">
      <c r="C123" s="103"/>
      <c r="D123" s="102"/>
    </row>
    <row r="124" spans="3:4">
      <c r="C124" s="103"/>
      <c r="D124" s="102"/>
    </row>
    <row r="125" spans="3:4">
      <c r="C125" s="103"/>
      <c r="D125" s="102"/>
    </row>
    <row r="126" spans="3:4">
      <c r="C126" s="103"/>
      <c r="D126" s="102"/>
    </row>
    <row r="127" spans="3:4">
      <c r="C127" s="103"/>
      <c r="D127" s="102"/>
    </row>
    <row r="128" spans="3:4">
      <c r="C128" s="103"/>
      <c r="D128" s="102"/>
    </row>
    <row r="129" spans="3:4">
      <c r="C129" s="103"/>
      <c r="D129" s="102"/>
    </row>
    <row r="130" spans="3:4">
      <c r="C130" s="103"/>
      <c r="D130" s="102"/>
    </row>
    <row r="131" spans="3:4">
      <c r="C131" s="103"/>
      <c r="D131" s="102"/>
    </row>
    <row r="132" spans="3:4">
      <c r="C132" s="103"/>
      <c r="D132" s="102"/>
    </row>
    <row r="133" spans="3:4">
      <c r="C133" s="103"/>
      <c r="D133" s="102"/>
    </row>
    <row r="134" spans="3:4">
      <c r="C134" s="103"/>
      <c r="D134" s="102"/>
    </row>
    <row r="135" spans="3:4">
      <c r="C135" s="103"/>
      <c r="D135" s="102"/>
    </row>
    <row r="136" spans="3:4">
      <c r="C136" s="103"/>
      <c r="D136" s="102"/>
    </row>
    <row r="137" spans="3:4">
      <c r="C137" s="103"/>
      <c r="D137" s="102"/>
    </row>
    <row r="138" spans="3:4">
      <c r="C138" s="103"/>
      <c r="D138" s="102"/>
    </row>
    <row r="139" spans="3:4">
      <c r="C139" s="103"/>
      <c r="D139" s="102"/>
    </row>
    <row r="140" spans="3:4">
      <c r="C140" s="103"/>
      <c r="D140" s="102"/>
    </row>
    <row r="141" spans="3:4">
      <c r="C141" s="103"/>
      <c r="D141" s="102"/>
    </row>
    <row r="142" spans="3:4">
      <c r="C142" s="103"/>
      <c r="D142" s="102"/>
    </row>
    <row r="143" spans="3:4">
      <c r="C143" s="103"/>
      <c r="D143" s="102"/>
    </row>
    <row r="144" spans="3:4">
      <c r="C144" s="103"/>
      <c r="D144" s="102"/>
    </row>
    <row r="145" spans="3:4">
      <c r="C145" s="103"/>
      <c r="D145" s="102"/>
    </row>
    <row r="146" spans="3:4">
      <c r="C146" s="103"/>
      <c r="D146" s="102"/>
    </row>
    <row r="147" spans="3:4">
      <c r="C147" s="103"/>
      <c r="D147" s="102"/>
    </row>
    <row r="148" spans="3:4">
      <c r="C148" s="103"/>
      <c r="D148" s="102"/>
    </row>
    <row r="149" spans="3:4">
      <c r="C149" s="103"/>
      <c r="D149" s="102"/>
    </row>
    <row r="150" spans="3:4">
      <c r="C150" s="103"/>
      <c r="D150" s="102"/>
    </row>
    <row r="151" spans="3:4">
      <c r="C151" s="103"/>
      <c r="D151" s="102"/>
    </row>
    <row r="152" spans="3:4">
      <c r="C152" s="103"/>
      <c r="D152" s="102"/>
    </row>
    <row r="153" spans="3:4">
      <c r="C153" s="103"/>
      <c r="D153" s="102"/>
    </row>
    <row r="154" spans="3:4">
      <c r="C154" s="103"/>
      <c r="D154" s="102"/>
    </row>
    <row r="155" spans="3:4">
      <c r="C155" s="103"/>
      <c r="D155" s="102"/>
    </row>
    <row r="156" spans="3:4">
      <c r="C156" s="103"/>
      <c r="D156" s="102"/>
    </row>
    <row r="157" spans="3:4">
      <c r="C157" s="103"/>
      <c r="D157" s="102"/>
    </row>
    <row r="158" spans="3:4">
      <c r="C158" s="103"/>
      <c r="D158" s="102"/>
    </row>
    <row r="159" spans="3:4">
      <c r="C159" s="103"/>
      <c r="D159" s="102"/>
    </row>
    <row r="160" spans="3:4">
      <c r="C160" s="103"/>
      <c r="D160" s="102"/>
    </row>
    <row r="161" spans="3:4">
      <c r="C161" s="103"/>
      <c r="D161" s="102"/>
    </row>
    <row r="162" spans="3:4">
      <c r="C162" s="103"/>
      <c r="D162" s="102"/>
    </row>
    <row r="163" spans="3:4">
      <c r="C163" s="103"/>
      <c r="D163" s="102"/>
    </row>
    <row r="164" spans="3:4">
      <c r="C164" s="103"/>
      <c r="D164" s="102"/>
    </row>
    <row r="165" spans="3:4">
      <c r="C165" s="103"/>
      <c r="D165" s="102"/>
    </row>
    <row r="166" spans="3:4">
      <c r="C166" s="103"/>
      <c r="D166" s="102"/>
    </row>
    <row r="167" spans="3:4">
      <c r="C167" s="103"/>
      <c r="D167" s="102"/>
    </row>
    <row r="168" spans="3:4">
      <c r="C168" s="103"/>
      <c r="D168" s="102"/>
    </row>
    <row r="169" spans="3:4">
      <c r="C169" s="103"/>
      <c r="D169" s="102"/>
    </row>
    <row r="170" spans="3:4">
      <c r="C170" s="103"/>
      <c r="D170" s="102"/>
    </row>
    <row r="171" spans="3:4">
      <c r="C171" s="103"/>
      <c r="D171" s="102"/>
    </row>
    <row r="172" spans="3:4">
      <c r="C172" s="103"/>
      <c r="D172" s="102"/>
    </row>
    <row r="173" spans="3:4">
      <c r="C173" s="103"/>
      <c r="D173" s="102"/>
    </row>
    <row r="174" spans="3:4">
      <c r="C174" s="103"/>
      <c r="D174" s="102"/>
    </row>
    <row r="175" spans="3:4">
      <c r="C175" s="103"/>
      <c r="D175" s="102"/>
    </row>
    <row r="176" spans="3:4">
      <c r="C176" s="103"/>
      <c r="D176" s="102"/>
    </row>
    <row r="177" spans="3:4">
      <c r="C177" s="103"/>
      <c r="D177" s="102"/>
    </row>
    <row r="178" spans="3:4">
      <c r="C178" s="103"/>
      <c r="D178" s="102"/>
    </row>
    <row r="179" spans="3:4">
      <c r="C179" s="103"/>
      <c r="D179" s="102"/>
    </row>
    <row r="180" spans="3:4">
      <c r="C180" s="103"/>
      <c r="D180" s="102"/>
    </row>
    <row r="181" spans="3:4">
      <c r="C181" s="103"/>
      <c r="D181" s="102"/>
    </row>
    <row r="182" spans="3:4">
      <c r="C182" s="103"/>
      <c r="D182" s="102"/>
    </row>
    <row r="183" spans="3:4">
      <c r="C183" s="103"/>
      <c r="D183" s="102"/>
    </row>
    <row r="184" spans="3:4">
      <c r="C184" s="103"/>
      <c r="D184" s="102"/>
    </row>
    <row r="185" spans="3:4">
      <c r="C185" s="103"/>
      <c r="D185" s="102"/>
    </row>
    <row r="186" spans="3:4">
      <c r="C186" s="103"/>
      <c r="D186" s="102"/>
    </row>
    <row r="187" spans="3:4">
      <c r="C187" s="103"/>
      <c r="D187" s="102"/>
    </row>
    <row r="188" spans="3:4">
      <c r="C188" s="103"/>
      <c r="D188" s="102"/>
    </row>
    <row r="189" spans="3:4">
      <c r="C189" s="103"/>
      <c r="D189" s="102"/>
    </row>
    <row r="190" spans="3:4">
      <c r="C190" s="103"/>
      <c r="D190" s="102"/>
    </row>
    <row r="191" spans="3:4">
      <c r="C191" s="103"/>
      <c r="D191" s="102"/>
    </row>
    <row r="192" spans="3:4">
      <c r="C192" s="103"/>
      <c r="D192" s="102"/>
    </row>
    <row r="193" spans="3:4">
      <c r="C193" s="103"/>
      <c r="D193" s="102"/>
    </row>
    <row r="194" spans="3:4">
      <c r="C194" s="103"/>
      <c r="D194" s="102"/>
    </row>
    <row r="195" spans="3:4">
      <c r="C195" s="103"/>
      <c r="D195" s="102"/>
    </row>
    <row r="196" spans="3:4">
      <c r="C196" s="103"/>
      <c r="D196" s="102"/>
    </row>
    <row r="197" spans="3:4">
      <c r="C197" s="103"/>
      <c r="D197" s="102"/>
    </row>
    <row r="198" spans="3:4">
      <c r="C198" s="103"/>
      <c r="D198" s="102"/>
    </row>
    <row r="199" spans="3:4">
      <c r="C199" s="103"/>
      <c r="D199" s="102"/>
    </row>
    <row r="200" spans="3:4">
      <c r="C200" s="103"/>
      <c r="D200" s="102"/>
    </row>
    <row r="201" spans="3:4">
      <c r="C201" s="103"/>
      <c r="D201" s="102"/>
    </row>
    <row r="202" spans="3:4">
      <c r="C202" s="103"/>
      <c r="D202" s="102"/>
    </row>
    <row r="203" spans="3:4">
      <c r="C203" s="103"/>
      <c r="D203" s="102"/>
    </row>
  </sheetData>
  <conditionalFormatting sqref="F4:O120">
    <cfRule type="expression" dxfId="32" priority="3">
      <formula>$N4="A vencer"</formula>
    </cfRule>
  </conditionalFormatting>
  <conditionalFormatting sqref="P4:P226">
    <cfRule type="cellIs" dxfId="31" priority="2" operator="equal">
      <formula>"OK"</formula>
    </cfRule>
  </conditionalFormatting>
  <conditionalFormatting sqref="P4:P1048576">
    <cfRule type="cellIs" dxfId="30" priority="1" operator="equal">
      <formula>"ALERTA: última parcela após a saída"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AGENDA</vt:lpstr>
      <vt:lpstr>RESERVAS</vt:lpstr>
      <vt:lpstr>DESPESAS CASA</vt:lpstr>
      <vt:lpstr>LISTAS</vt:lpstr>
      <vt:lpstr>PGTOS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Neves</cp:lastModifiedBy>
  <dcterms:modified xsi:type="dcterms:W3CDTF">2026-10-24T19:13:36Z</dcterms:modified>
</cp:coreProperties>
</file>